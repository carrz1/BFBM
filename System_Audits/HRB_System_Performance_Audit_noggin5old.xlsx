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E:\racing\AI\GitHub\BFBM\System_Audits\"/>
    </mc:Choice>
  </mc:AlternateContent>
  <xr:revisionPtr revIDLastSave="0" documentId="8_{150745DE-AB3A-4D5C-B5BE-717095C4161D}" xr6:coauthVersionLast="47" xr6:coauthVersionMax="47" xr10:uidLastSave="{00000000-0000-0000-0000-000000000000}"/>
  <bookViews>
    <workbookView xWindow="23250" yWindow="3870" windowWidth="44400" windowHeight="23280" xr2:uid="{00000000-000D-0000-FFFF-FFFF00000000}"/>
  </bookViews>
  <sheets>
    <sheet name="noggin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73" i="1" l="1"/>
</calcChain>
</file>

<file path=xl/sharedStrings.xml><?xml version="1.0" encoding="utf-8"?>
<sst xmlns="http://schemas.openxmlformats.org/spreadsheetml/2006/main" count="245" uniqueCount="177">
  <si>
    <t>Slot</t>
  </si>
  <si>
    <t>Name</t>
  </si>
  <si>
    <t>Saved</t>
  </si>
  <si>
    <t>Odds Band</t>
  </si>
  <si>
    <t>Odds Parsing Note</t>
  </si>
  <si>
    <t>Bets</t>
  </si>
  <si>
    <t>Wins</t>
  </si>
  <si>
    <t>Win%</t>
  </si>
  <si>
    <t>P/L(SP)</t>
  </si>
  <si>
    <t>Races</t>
  </si>
  <si>
    <t>Race%</t>
  </si>
  <si>
    <t>ROI(SP)</t>
  </si>
  <si>
    <t>P/L(BF)</t>
  </si>
  <si>
    <t>ROI(BF)</t>
  </si>
  <si>
    <t>P/L(BF) 2017</t>
  </si>
  <si>
    <t>P/L(BF) 2018</t>
  </si>
  <si>
    <t>P/L(BF) 2019</t>
  </si>
  <si>
    <t>P/L(BF) 2020</t>
  </si>
  <si>
    <t>P/L(BF) 2021</t>
  </si>
  <si>
    <t>P/L(BF) 2022</t>
  </si>
  <si>
    <t>P/L(BF) 2023</t>
  </si>
  <si>
    <t>P/L(BF) 2024</t>
  </si>
  <si>
    <t>P/L(BF) 2025</t>
  </si>
  <si>
    <t>P/L(BF) 2026</t>
  </si>
  <si>
    <t>SS NH Diff HDGR Diff CODE</t>
  </si>
  <si>
    <t>2023-01-27</t>
  </si>
  <si>
    <t>none</t>
  </si>
  <si>
    <t>NH 2.01 - 500.00 5lbs LTO 2.01 to 125to1</t>
  </si>
  <si>
    <t>2021-02-16</t>
  </si>
  <si>
    <t>2.01 - 500</t>
  </si>
  <si>
    <t>SS TT 5.01 - 100.00</t>
  </si>
  <si>
    <t>2023-01-31</t>
  </si>
  <si>
    <t>5.01 - 100</t>
  </si>
  <si>
    <t>CAPPED AT 10,000-ROW DOWNLOAD LIMIT - true post-saved-date bet count may be higher, review manually</t>
  </si>
  <si>
    <t>FOR TO 1plus run 0 Runs TR</t>
  </si>
  <si>
    <t>2025-01-01</t>
  </si>
  <si>
    <t>SS 9YO 10YO CHASES 19plusSOF 40.01-1000.00</t>
  </si>
  <si>
    <t>2026-05-15</t>
  </si>
  <si>
    <t>40.01 - 1000</t>
  </si>
  <si>
    <t>SSwonatTrackLTO 8.01-18.00</t>
  </si>
  <si>
    <t>2025-01-30</t>
  </si>
  <si>
    <t>8.01 - 18</t>
  </si>
  <si>
    <t>TURF IRE FMs 14.01 - 80.00</t>
  </si>
  <si>
    <t>2025-02-04</t>
  </si>
  <si>
    <t>14.01 - 80</t>
  </si>
  <si>
    <t>FLAT &amp; AW DandG 6F 20.00 - 80.00</t>
  </si>
  <si>
    <t>2025-12-18</t>
  </si>
  <si>
    <t>20 - 80</t>
  </si>
  <si>
    <t>JClaim v LTO 6.01 - 150.00</t>
  </si>
  <si>
    <t>2023-01-19</t>
  </si>
  <si>
    <t>6.01 - 150</t>
  </si>
  <si>
    <t>C Placed NH GB IRE 7lb LTO Pt 1</t>
  </si>
  <si>
    <t>2021-02-21</t>
  </si>
  <si>
    <t>AW Newc 6F 7F longest DSLR 9.01 - 200.00</t>
  </si>
  <si>
    <t>2026-01-11</t>
  </si>
  <si>
    <t>9.01 - 200</t>
  </si>
  <si>
    <t>SS MM 0 RUNS 14.00 - 200.00</t>
  </si>
  <si>
    <t>2025-08-29</t>
  </si>
  <si>
    <t>14 - 200</t>
  </si>
  <si>
    <t>C Placed NH GB IRE 0lbs LTO</t>
  </si>
  <si>
    <t>NH HDGRdiff 10.01 - 300.00</t>
  </si>
  <si>
    <t>2025-09-05</t>
  </si>
  <si>
    <t>10.01 - 300</t>
  </si>
  <si>
    <t>CHELT 2022 HDGR 0 runs 14.01-65.00</t>
  </si>
  <si>
    <t>2022-03-14</t>
  </si>
  <si>
    <t>14.01 - 65</t>
  </si>
  <si>
    <t>SS AW 7f 2yo3yo 8.01 - 500.00 v1</t>
  </si>
  <si>
    <t>2022-02-01</t>
  </si>
  <si>
    <t>8.01 - 500</t>
  </si>
  <si>
    <t>NH BottomWeights 10.00 - 400.00</t>
  </si>
  <si>
    <t>2026-01-12</t>
  </si>
  <si>
    <t>10 - 400</t>
  </si>
  <si>
    <t>SS 4YO 5F 5.5F 9.01 - 1000.00</t>
  </si>
  <si>
    <t>2022-06-26</t>
  </si>
  <si>
    <t>9.01 - 1000</t>
  </si>
  <si>
    <t>CHELT IRISH 2023</t>
  </si>
  <si>
    <t>2023-03-16</t>
  </si>
  <si>
    <t>TURF HDGR LTO noHDGR 4.5 -500.00</t>
  </si>
  <si>
    <t>2025-03-16</t>
  </si>
  <si>
    <t>4.5 - 500</t>
  </si>
  <si>
    <t>Chepstow 7YOs</t>
  </si>
  <si>
    <t>2018-07-03</t>
  </si>
  <si>
    <t>Ascot HUNT CUP AW WIN LTO</t>
  </si>
  <si>
    <t>2018-06-20</t>
  </si>
  <si>
    <t>2021 MeehanBJ  TURF 2021</t>
  </si>
  <si>
    <t>2021-05-07</t>
  </si>
  <si>
    <t>SS CHEP 5F 6F all BSPs</t>
  </si>
  <si>
    <t>Donc Rnd Course 9YO 10YO</t>
  </si>
  <si>
    <t>2019-04-01</t>
  </si>
  <si>
    <t>Bev EllisonB</t>
  </si>
  <si>
    <t>2019-04-17</t>
  </si>
  <si>
    <t>Ascot 7f</t>
  </si>
  <si>
    <t>SS 2YOs CHEP STRT all SPs</t>
  </si>
  <si>
    <t>SS HDGR diff 1-5DSLR all BSPs</t>
  </si>
  <si>
    <t>2023-01-04</t>
  </si>
  <si>
    <t>skipped '1-5' (followed by 'dslr', not odds)</t>
  </si>
  <si>
    <t>HDGR DIFF v2 14.01 - 80.00</t>
  </si>
  <si>
    <t>2021-04-02</t>
  </si>
  <si>
    <t>NH HDGRdiff 6YO 10.01-400.00</t>
  </si>
  <si>
    <t>2025-08-13</t>
  </si>
  <si>
    <t>10.01 - 400</t>
  </si>
  <si>
    <t>HDGR DIFF v3 9.01 - 200.00</t>
  </si>
  <si>
    <t>HDGR DIFF v4 NH 3.01-300.00</t>
  </si>
  <si>
    <t>3.01 - 300</t>
  </si>
  <si>
    <t>SS Chest BaldingAM 2023</t>
  </si>
  <si>
    <t>2023-08-06</t>
  </si>
  <si>
    <t>SS 4.50 - 65.00 1-2 CODE RUNS</t>
  </si>
  <si>
    <t>2025-08-30</t>
  </si>
  <si>
    <t>4.5 - 65</t>
  </si>
  <si>
    <t>Leicester DRAW</t>
  </si>
  <si>
    <t>2017-05-29</t>
  </si>
  <si>
    <t>SS NH IRISH HDGRdiff CHP  7.51 plus</t>
  </si>
  <si>
    <t>2026-03-04</t>
  </si>
  <si>
    <t>SS Aug Sep 2yo3yo4yo pt1 6.01 - 1000.00</t>
  </si>
  <si>
    <t>2022-07-31</t>
  </si>
  <si>
    <t>6.01 - 1000</t>
  </si>
  <si>
    <t>SS Aug Sep 2yo3yo IRE pt2 all BSPs</t>
  </si>
  <si>
    <t>0 Runs TR  all BSPs</t>
  </si>
  <si>
    <t>2026-05-08</t>
  </si>
  <si>
    <t>DRAW Newb 7f</t>
  </si>
  <si>
    <t>2017-05-28</t>
  </si>
  <si>
    <t>SS 5F HDGRdiff 8.01-1000.00</t>
  </si>
  <si>
    <t>2026-04-07</t>
  </si>
  <si>
    <t>8.01 - 1000</t>
  </si>
  <si>
    <t>SS Ascot STR</t>
  </si>
  <si>
    <t>2026-05-07</t>
  </si>
  <si>
    <t>SS FLAT NewTRNR 0-6 RUNS 3.01 - 65.00</t>
  </si>
  <si>
    <t>2025-10-12</t>
  </si>
  <si>
    <t>3.01 - 65</t>
  </si>
  <si>
    <t>skipped '0-6' (followed by 'runs', not odds)</t>
  </si>
  <si>
    <t>Muss BurkeKR</t>
  </si>
  <si>
    <t>2019-04-20</t>
  </si>
  <si>
    <t>ss 9YO 10YO 11YOs  NH</t>
  </si>
  <si>
    <t>2022-12-05</t>
  </si>
  <si>
    <t>2018 9YOs 10YOs 13.00 - 51.00 9YOs 10YOs</t>
  </si>
  <si>
    <t>2018-03-14</t>
  </si>
  <si>
    <t>13 - 51</t>
  </si>
  <si>
    <t>9YOs 10YOs 9YOs 10YOs</t>
  </si>
  <si>
    <t>2021-08-30</t>
  </si>
  <si>
    <t>SS AW 7f 2yo3yo 8.01 - 500.00</t>
  </si>
  <si>
    <t>2022-01-18</t>
  </si>
  <si>
    <t>SS NH 2018 15 CAREER RUNS v1</t>
  </si>
  <si>
    <t>2023-11-19</t>
  </si>
  <si>
    <t>Muss KirbyP</t>
  </si>
  <si>
    <t>Chest BaldingAM</t>
  </si>
  <si>
    <t>2019-05-10</t>
  </si>
  <si>
    <t>Chest Ryan KA</t>
  </si>
  <si>
    <t>Chest WilliamsI</t>
  </si>
  <si>
    <t>Ascot STR 5f - 7f 4YO</t>
  </si>
  <si>
    <t>2018-06-27</t>
  </si>
  <si>
    <t>SS JARDINE I MUSSELBURGH</t>
  </si>
  <si>
    <t>2025-04-13</t>
  </si>
  <si>
    <t>Hamilton SPRINTS</t>
  </si>
  <si>
    <t>Hamil 6f</t>
  </si>
  <si>
    <t>Leicester DRAW v1A</t>
  </si>
  <si>
    <t>2021-09-20</t>
  </si>
  <si>
    <t>2021 9YOs 10YOs all BSPs</t>
  </si>
  <si>
    <t>2021-10-08</t>
  </si>
  <si>
    <t>NEW TR FT 3.50 - 500.00</t>
  </si>
  <si>
    <t>2025-08-25</t>
  </si>
  <si>
    <t>3.5 - 500</t>
  </si>
  <si>
    <t>NH FMs 61-240DSLR 30.00-300.00</t>
  </si>
  <si>
    <t>2025-08-24</t>
  </si>
  <si>
    <t>30 - 300</t>
  </si>
  <si>
    <t>skipped '61-240' (followed by 'dslr', not odds); CAPPED AT 10,000-ROW DOWNLOAD LIMIT - true post-saved-date bet count may be higher, review manually</t>
  </si>
  <si>
    <t>Red Scott Dixon</t>
  </si>
  <si>
    <t>2019-04-22</t>
  </si>
  <si>
    <t>Rip OmearaD</t>
  </si>
  <si>
    <t>2019-04-27</t>
  </si>
  <si>
    <t>SS 4YO GB STRAIGHTS UK</t>
  </si>
  <si>
    <t>2022-06-07</t>
  </si>
  <si>
    <t>Ascot HUNT CUP Hdgr</t>
  </si>
  <si>
    <t>2022-06-15</t>
  </si>
  <si>
    <t>Hamilton SPRINTS ALL AGES</t>
  </si>
  <si>
    <t>2024-06-06</t>
  </si>
  <si>
    <t>SS HDGR none BLKRS LTO all BSPs</t>
  </si>
  <si>
    <t>2022-06-18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</si>
</sst>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2" fontId="0" fillId="0" borderId="0" xfId="0" applyNumberFormat="1"/>
    <xf numFmtId="0" fontId="0" fillId="3" borderId="0" xfId="0" applyFill="1"/>
    <xf numFmtId="2" fontId="0" fillId="3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73"/>
  <sheetViews>
    <sheetView tabSelected="1" topLeftCell="A16" workbookViewId="0">
      <selection activeCell="A63" sqref="A63:XFD63"/>
    </sheetView>
  </sheetViews>
  <sheetFormatPr defaultRowHeight="15" x14ac:dyDescent="0.25"/>
  <cols>
    <col min="1" max="1" width="7.42578125" customWidth="1"/>
    <col min="2" max="2" width="33.5703125" customWidth="1"/>
    <col min="3" max="4" width="12" customWidth="1"/>
    <col min="5" max="5" width="91.5703125" customWidth="1"/>
    <col min="6" max="12" width="12" customWidth="1"/>
    <col min="13" max="13" width="12" style="1" customWidth="1"/>
    <col min="14" max="14" width="12" customWidth="1"/>
    <col min="15" max="24" width="14" style="2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1" t="s">
        <v>12</v>
      </c>
      <c r="N1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</row>
    <row r="2" spans="1:24" x14ac:dyDescent="0.25">
      <c r="A2">
        <v>1</v>
      </c>
      <c r="B2" t="s">
        <v>24</v>
      </c>
      <c r="C2" t="s">
        <v>25</v>
      </c>
      <c r="D2" t="s">
        <v>26</v>
      </c>
      <c r="F2">
        <v>422</v>
      </c>
      <c r="G2">
        <v>38</v>
      </c>
      <c r="H2">
        <v>9</v>
      </c>
      <c r="I2">
        <v>-145.41</v>
      </c>
      <c r="J2">
        <v>344</v>
      </c>
      <c r="K2">
        <v>11.05</v>
      </c>
      <c r="L2">
        <v>-34.46</v>
      </c>
      <c r="M2" s="1">
        <v>59.36</v>
      </c>
      <c r="N2">
        <v>14.07</v>
      </c>
      <c r="U2" s="2">
        <v>-42.411499999999997</v>
      </c>
      <c r="V2" s="2">
        <v>-80.037499999999994</v>
      </c>
      <c r="W2" s="2">
        <v>199.178</v>
      </c>
      <c r="X2" s="2">
        <v>-17.3735</v>
      </c>
    </row>
    <row r="3" spans="1:24" x14ac:dyDescent="0.25">
      <c r="A3">
        <v>2</v>
      </c>
      <c r="B3" t="s">
        <v>27</v>
      </c>
      <c r="C3" t="s">
        <v>28</v>
      </c>
      <c r="D3" t="s">
        <v>29</v>
      </c>
      <c r="F3">
        <v>1086</v>
      </c>
      <c r="G3">
        <v>83</v>
      </c>
      <c r="H3">
        <v>7.64</v>
      </c>
      <c r="I3">
        <v>-105.05</v>
      </c>
      <c r="J3">
        <v>1028</v>
      </c>
      <c r="K3">
        <v>8.07</v>
      </c>
      <c r="L3">
        <v>-9.67</v>
      </c>
      <c r="M3" s="1">
        <v>202.43</v>
      </c>
      <c r="N3">
        <v>18.64</v>
      </c>
      <c r="S3" s="2">
        <v>-31.418500000000002</v>
      </c>
      <c r="T3" s="2">
        <v>149.97550000000001</v>
      </c>
      <c r="U3" s="2">
        <v>33.997</v>
      </c>
      <c r="V3" s="2">
        <v>28.329000000000001</v>
      </c>
      <c r="W3" s="2">
        <v>25.6295</v>
      </c>
      <c r="X3" s="2">
        <v>-4.0860000000000003</v>
      </c>
    </row>
    <row r="4" spans="1:24" x14ac:dyDescent="0.25">
      <c r="A4">
        <v>3</v>
      </c>
      <c r="B4" t="s">
        <v>30</v>
      </c>
      <c r="C4" t="s">
        <v>31</v>
      </c>
      <c r="D4" t="s">
        <v>32</v>
      </c>
      <c r="E4" t="s">
        <v>33</v>
      </c>
      <c r="F4">
        <v>1423</v>
      </c>
      <c r="G4">
        <v>116</v>
      </c>
      <c r="H4">
        <v>8.15</v>
      </c>
      <c r="I4">
        <v>-210.68</v>
      </c>
      <c r="J4">
        <v>1339</v>
      </c>
      <c r="K4">
        <v>8.66</v>
      </c>
      <c r="L4">
        <v>-14.81</v>
      </c>
      <c r="M4" s="1">
        <v>183.11</v>
      </c>
      <c r="N4">
        <v>12.87</v>
      </c>
      <c r="U4" s="2">
        <v>86.781499999999994</v>
      </c>
      <c r="V4" s="2">
        <v>-21.227</v>
      </c>
      <c r="W4" s="2">
        <v>38.119</v>
      </c>
      <c r="X4" s="2">
        <v>79.439499999999995</v>
      </c>
    </row>
    <row r="5" spans="1:24" x14ac:dyDescent="0.25">
      <c r="A5">
        <v>4</v>
      </c>
      <c r="B5" t="s">
        <v>34</v>
      </c>
      <c r="C5" t="s">
        <v>35</v>
      </c>
      <c r="D5" t="s">
        <v>26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 s="1">
        <v>0</v>
      </c>
      <c r="N5">
        <v>0</v>
      </c>
    </row>
    <row r="6" spans="1:24" x14ac:dyDescent="0.25">
      <c r="A6">
        <v>5</v>
      </c>
      <c r="B6" t="s">
        <v>36</v>
      </c>
      <c r="C6" t="s">
        <v>37</v>
      </c>
      <c r="D6" t="s">
        <v>38</v>
      </c>
      <c r="F6">
        <v>2</v>
      </c>
      <c r="G6">
        <v>0</v>
      </c>
      <c r="H6">
        <v>0</v>
      </c>
      <c r="I6">
        <v>-2</v>
      </c>
      <c r="J6">
        <v>2</v>
      </c>
      <c r="K6">
        <v>0</v>
      </c>
      <c r="L6">
        <v>-100</v>
      </c>
      <c r="M6" s="1">
        <v>-2</v>
      </c>
      <c r="N6">
        <v>-100</v>
      </c>
      <c r="X6" s="2">
        <v>-2</v>
      </c>
    </row>
    <row r="7" spans="1:24" x14ac:dyDescent="0.25">
      <c r="A7">
        <v>7</v>
      </c>
      <c r="B7" t="s">
        <v>39</v>
      </c>
      <c r="C7" t="s">
        <v>40</v>
      </c>
      <c r="D7" t="s">
        <v>41</v>
      </c>
      <c r="E7" t="s">
        <v>33</v>
      </c>
      <c r="F7">
        <v>308</v>
      </c>
      <c r="G7">
        <v>26</v>
      </c>
      <c r="H7">
        <v>8.44</v>
      </c>
      <c r="I7">
        <v>-66</v>
      </c>
      <c r="J7">
        <v>295</v>
      </c>
      <c r="K7">
        <v>8.81</v>
      </c>
      <c r="L7">
        <v>-21.43</v>
      </c>
      <c r="M7" s="1">
        <v>-18.32</v>
      </c>
      <c r="N7">
        <v>-5.95</v>
      </c>
      <c r="W7" s="2">
        <v>4.3795000000000002</v>
      </c>
      <c r="X7" s="2">
        <v>-22.697500000000002</v>
      </c>
    </row>
    <row r="8" spans="1:24" x14ac:dyDescent="0.25">
      <c r="A8">
        <v>8</v>
      </c>
      <c r="B8" t="s">
        <v>42</v>
      </c>
      <c r="C8" t="s">
        <v>43</v>
      </c>
      <c r="D8" t="s">
        <v>44</v>
      </c>
      <c r="E8" t="s">
        <v>33</v>
      </c>
      <c r="F8">
        <v>2939</v>
      </c>
      <c r="G8">
        <v>110</v>
      </c>
      <c r="H8">
        <v>3.74</v>
      </c>
      <c r="I8">
        <v>-918.5</v>
      </c>
      <c r="J8">
        <v>2009</v>
      </c>
      <c r="K8">
        <v>5.48</v>
      </c>
      <c r="L8">
        <v>-31.25</v>
      </c>
      <c r="M8" s="1">
        <v>-214.13</v>
      </c>
      <c r="N8">
        <v>-7.29</v>
      </c>
      <c r="W8" s="2">
        <v>40.432000000000002</v>
      </c>
      <c r="X8" s="2">
        <v>-254.55699999999999</v>
      </c>
    </row>
    <row r="9" spans="1:24" x14ac:dyDescent="0.25">
      <c r="A9">
        <v>9</v>
      </c>
      <c r="B9" t="s">
        <v>45</v>
      </c>
      <c r="C9" t="s">
        <v>46</v>
      </c>
      <c r="D9" t="s">
        <v>47</v>
      </c>
      <c r="E9" t="s">
        <v>33</v>
      </c>
      <c r="F9">
        <v>196</v>
      </c>
      <c r="G9">
        <v>5</v>
      </c>
      <c r="H9">
        <v>2.5499999999999998</v>
      </c>
      <c r="I9">
        <v>-80</v>
      </c>
      <c r="J9">
        <v>120</v>
      </c>
      <c r="K9">
        <v>4.17</v>
      </c>
      <c r="L9">
        <v>-40.82</v>
      </c>
      <c r="M9" s="1">
        <v>-27.81</v>
      </c>
      <c r="N9">
        <v>-14.19</v>
      </c>
      <c r="W9" s="2">
        <v>-5</v>
      </c>
      <c r="X9" s="2">
        <v>-22.809000000000001</v>
      </c>
    </row>
    <row r="10" spans="1:24" x14ac:dyDescent="0.25">
      <c r="A10" s="3">
        <v>10</v>
      </c>
      <c r="B10" s="3" t="s">
        <v>48</v>
      </c>
      <c r="C10" s="3" t="s">
        <v>49</v>
      </c>
      <c r="D10" s="3" t="s">
        <v>50</v>
      </c>
      <c r="E10" s="3" t="s">
        <v>33</v>
      </c>
      <c r="F10" s="3">
        <v>6123</v>
      </c>
      <c r="G10" s="3">
        <v>368</v>
      </c>
      <c r="H10" s="3">
        <v>6.01</v>
      </c>
      <c r="I10" s="3">
        <v>-1477.34</v>
      </c>
      <c r="J10" s="3">
        <v>5138</v>
      </c>
      <c r="K10" s="3">
        <v>7.16</v>
      </c>
      <c r="L10" s="3">
        <v>-24.13</v>
      </c>
      <c r="M10" s="3">
        <v>88.18</v>
      </c>
      <c r="N10" s="3">
        <v>1.44</v>
      </c>
      <c r="O10" s="4"/>
      <c r="P10" s="4"/>
      <c r="Q10" s="4"/>
      <c r="R10" s="4"/>
      <c r="S10" s="4"/>
      <c r="T10" s="4"/>
      <c r="U10" s="4">
        <v>-93.932000000000002</v>
      </c>
      <c r="V10" s="4">
        <v>-52.89</v>
      </c>
      <c r="W10" s="4">
        <v>150.154</v>
      </c>
      <c r="X10" s="4">
        <v>84.852000000000004</v>
      </c>
    </row>
    <row r="11" spans="1:24" x14ac:dyDescent="0.25">
      <c r="A11">
        <v>11</v>
      </c>
      <c r="B11" t="s">
        <v>51</v>
      </c>
      <c r="C11" t="s">
        <v>52</v>
      </c>
      <c r="D11" t="s">
        <v>26</v>
      </c>
      <c r="F11">
        <v>79</v>
      </c>
      <c r="G11">
        <v>5</v>
      </c>
      <c r="H11">
        <v>6.33</v>
      </c>
      <c r="I11">
        <v>-36.42</v>
      </c>
      <c r="J11">
        <v>79</v>
      </c>
      <c r="K11">
        <v>6.33</v>
      </c>
      <c r="L11">
        <v>-46.1</v>
      </c>
      <c r="M11" s="1">
        <v>-24.36</v>
      </c>
      <c r="N11">
        <v>-30.84</v>
      </c>
      <c r="S11" s="2">
        <v>-18</v>
      </c>
      <c r="T11" s="2">
        <v>-1.6525000000000001</v>
      </c>
      <c r="U11" s="2">
        <v>-1.73</v>
      </c>
      <c r="V11" s="2">
        <v>16.55</v>
      </c>
      <c r="W11" s="2">
        <v>-11.53</v>
      </c>
      <c r="X11" s="2">
        <v>-8</v>
      </c>
    </row>
    <row r="12" spans="1:24" x14ac:dyDescent="0.25">
      <c r="A12">
        <v>13</v>
      </c>
      <c r="B12" t="s">
        <v>53</v>
      </c>
      <c r="C12" t="s">
        <v>54</v>
      </c>
      <c r="D12" t="s">
        <v>55</v>
      </c>
      <c r="F12">
        <v>44</v>
      </c>
      <c r="G12">
        <v>0</v>
      </c>
      <c r="H12">
        <v>0</v>
      </c>
      <c r="I12">
        <v>-44</v>
      </c>
      <c r="J12">
        <v>32</v>
      </c>
      <c r="K12">
        <v>0</v>
      </c>
      <c r="L12">
        <v>-100</v>
      </c>
      <c r="M12" s="1">
        <v>-44</v>
      </c>
      <c r="N12">
        <v>-100</v>
      </c>
      <c r="X12" s="2">
        <v>-44</v>
      </c>
    </row>
    <row r="13" spans="1:24" x14ac:dyDescent="0.25">
      <c r="A13">
        <v>14</v>
      </c>
      <c r="B13" t="s">
        <v>56</v>
      </c>
      <c r="C13" t="s">
        <v>57</v>
      </c>
      <c r="D13" t="s">
        <v>58</v>
      </c>
      <c r="F13">
        <v>82</v>
      </c>
      <c r="G13">
        <v>4</v>
      </c>
      <c r="H13">
        <v>4.88</v>
      </c>
      <c r="I13">
        <v>-19</v>
      </c>
      <c r="J13">
        <v>71</v>
      </c>
      <c r="K13">
        <v>5.63</v>
      </c>
      <c r="L13">
        <v>-23.17</v>
      </c>
      <c r="M13" s="1">
        <v>-6.97</v>
      </c>
      <c r="N13">
        <v>-8.5</v>
      </c>
      <c r="W13" s="2">
        <v>-2</v>
      </c>
      <c r="X13" s="2">
        <v>-4.9684999999999997</v>
      </c>
    </row>
    <row r="14" spans="1:24" x14ac:dyDescent="0.25">
      <c r="A14">
        <v>15</v>
      </c>
      <c r="B14" t="s">
        <v>59</v>
      </c>
      <c r="C14" t="s">
        <v>52</v>
      </c>
      <c r="D14" t="s">
        <v>26</v>
      </c>
      <c r="F14">
        <v>1231</v>
      </c>
      <c r="G14">
        <v>146</v>
      </c>
      <c r="H14">
        <v>11.86</v>
      </c>
      <c r="I14">
        <v>-39.19</v>
      </c>
      <c r="J14">
        <v>1154</v>
      </c>
      <c r="K14">
        <v>12.65</v>
      </c>
      <c r="L14">
        <v>-3.18</v>
      </c>
      <c r="M14" s="1">
        <v>207.81</v>
      </c>
      <c r="N14">
        <v>16.88</v>
      </c>
      <c r="S14" s="2">
        <v>-46.878</v>
      </c>
      <c r="T14" s="2">
        <v>119.998</v>
      </c>
      <c r="U14" s="2">
        <v>-8.41</v>
      </c>
      <c r="V14" s="2">
        <v>6.1829999999999998</v>
      </c>
      <c r="W14" s="2">
        <v>162.21100000000001</v>
      </c>
      <c r="X14" s="2">
        <v>-25.296500000000002</v>
      </c>
    </row>
    <row r="15" spans="1:24" x14ac:dyDescent="0.25">
      <c r="A15">
        <v>16</v>
      </c>
      <c r="B15" t="s">
        <v>60</v>
      </c>
      <c r="C15" t="s">
        <v>61</v>
      </c>
      <c r="D15" t="s">
        <v>62</v>
      </c>
      <c r="E15" t="s">
        <v>33</v>
      </c>
      <c r="F15">
        <v>643</v>
      </c>
      <c r="G15">
        <v>34</v>
      </c>
      <c r="H15">
        <v>5.29</v>
      </c>
      <c r="I15">
        <v>15</v>
      </c>
      <c r="J15">
        <v>574</v>
      </c>
      <c r="K15">
        <v>5.92</v>
      </c>
      <c r="L15">
        <v>2.33</v>
      </c>
      <c r="M15" s="1">
        <v>246.25</v>
      </c>
      <c r="N15">
        <v>38.299999999999997</v>
      </c>
      <c r="W15" s="2">
        <v>99.802999999999997</v>
      </c>
      <c r="X15" s="2">
        <v>146.44399999999999</v>
      </c>
    </row>
    <row r="16" spans="1:24" x14ac:dyDescent="0.25">
      <c r="A16">
        <v>18</v>
      </c>
      <c r="B16" t="s">
        <v>63</v>
      </c>
      <c r="C16" t="s">
        <v>64</v>
      </c>
      <c r="D16" t="s">
        <v>65</v>
      </c>
      <c r="F16">
        <v>51</v>
      </c>
      <c r="G16">
        <v>2</v>
      </c>
      <c r="H16">
        <v>3.92</v>
      </c>
      <c r="I16">
        <v>-13</v>
      </c>
      <c r="J16">
        <v>33</v>
      </c>
      <c r="K16">
        <v>6.06</v>
      </c>
      <c r="L16">
        <v>-25.49</v>
      </c>
      <c r="M16" s="1">
        <v>-3.94</v>
      </c>
      <c r="N16">
        <v>-7.73</v>
      </c>
      <c r="T16" s="2">
        <v>-10</v>
      </c>
      <c r="U16" s="2">
        <v>9.4414999999999996</v>
      </c>
      <c r="V16" s="2">
        <v>-11</v>
      </c>
      <c r="W16" s="2">
        <v>-6</v>
      </c>
      <c r="X16" s="2">
        <v>13.617000000000001</v>
      </c>
    </row>
    <row r="17" spans="1:24" x14ac:dyDescent="0.25">
      <c r="A17">
        <v>21</v>
      </c>
      <c r="B17" t="s">
        <v>66</v>
      </c>
      <c r="C17" t="s">
        <v>67</v>
      </c>
      <c r="D17" t="s">
        <v>68</v>
      </c>
      <c r="F17">
        <v>638</v>
      </c>
      <c r="G17">
        <v>30</v>
      </c>
      <c r="H17">
        <v>4.7</v>
      </c>
      <c r="I17">
        <v>-85.5</v>
      </c>
      <c r="J17">
        <v>320</v>
      </c>
      <c r="K17">
        <v>9.3800000000000008</v>
      </c>
      <c r="L17">
        <v>-13.4</v>
      </c>
      <c r="M17" s="1">
        <v>145.41999999999999</v>
      </c>
      <c r="N17">
        <v>22.79</v>
      </c>
      <c r="T17" s="2">
        <v>28.922999999999998</v>
      </c>
      <c r="U17" s="2">
        <v>-124.8</v>
      </c>
      <c r="V17" s="2">
        <v>36.172499999999999</v>
      </c>
      <c r="W17" s="2">
        <v>248.4975</v>
      </c>
      <c r="X17" s="2">
        <v>-43.3765</v>
      </c>
    </row>
    <row r="18" spans="1:24" x14ac:dyDescent="0.25">
      <c r="A18">
        <v>22</v>
      </c>
      <c r="B18" t="s">
        <v>69</v>
      </c>
      <c r="C18" t="s">
        <v>70</v>
      </c>
      <c r="D18" t="s">
        <v>71</v>
      </c>
      <c r="E18" t="s">
        <v>33</v>
      </c>
      <c r="F18">
        <v>955</v>
      </c>
      <c r="G18">
        <v>45</v>
      </c>
      <c r="H18">
        <v>4.71</v>
      </c>
      <c r="I18">
        <v>-148.5</v>
      </c>
      <c r="J18">
        <v>634</v>
      </c>
      <c r="K18">
        <v>7.1</v>
      </c>
      <c r="L18">
        <v>-15.55</v>
      </c>
      <c r="M18" s="1">
        <v>192.95</v>
      </c>
      <c r="N18">
        <v>20.2</v>
      </c>
      <c r="X18" s="2">
        <v>192.95</v>
      </c>
    </row>
    <row r="19" spans="1:24" x14ac:dyDescent="0.25">
      <c r="A19">
        <v>23</v>
      </c>
      <c r="B19" t="s">
        <v>72</v>
      </c>
      <c r="C19" t="s">
        <v>73</v>
      </c>
      <c r="D19" t="s">
        <v>74</v>
      </c>
      <c r="F19">
        <v>164</v>
      </c>
      <c r="G19">
        <v>18</v>
      </c>
      <c r="H19">
        <v>10.98</v>
      </c>
      <c r="I19">
        <v>97.5</v>
      </c>
      <c r="J19">
        <v>147</v>
      </c>
      <c r="K19">
        <v>12.24</v>
      </c>
      <c r="L19">
        <v>59.45</v>
      </c>
      <c r="M19" s="1">
        <v>190.11</v>
      </c>
      <c r="N19">
        <v>115.92</v>
      </c>
      <c r="T19" s="2">
        <v>41.017499999999998</v>
      </c>
      <c r="U19" s="2">
        <v>14.635</v>
      </c>
      <c r="V19" s="2">
        <v>120.587</v>
      </c>
      <c r="W19" s="2">
        <v>22.8705</v>
      </c>
      <c r="X19" s="2">
        <v>-9</v>
      </c>
    </row>
    <row r="20" spans="1:24" x14ac:dyDescent="0.25">
      <c r="A20">
        <v>26</v>
      </c>
      <c r="B20" t="s">
        <v>75</v>
      </c>
      <c r="C20" t="s">
        <v>76</v>
      </c>
      <c r="D20" t="s">
        <v>26</v>
      </c>
      <c r="F20">
        <v>259</v>
      </c>
      <c r="G20">
        <v>12</v>
      </c>
      <c r="H20">
        <v>4.63</v>
      </c>
      <c r="I20">
        <v>-30.87</v>
      </c>
      <c r="J20">
        <v>45</v>
      </c>
      <c r="K20">
        <v>26.67</v>
      </c>
      <c r="L20">
        <v>-11.92</v>
      </c>
      <c r="M20" s="1">
        <v>121.57</v>
      </c>
      <c r="N20">
        <v>46.94</v>
      </c>
      <c r="U20" s="2">
        <v>-26</v>
      </c>
      <c r="V20" s="2">
        <v>-16.612500000000001</v>
      </c>
      <c r="W20" s="2">
        <v>226.36750000000001</v>
      </c>
      <c r="X20" s="2">
        <v>-62.183500000000002</v>
      </c>
    </row>
    <row r="21" spans="1:24" x14ac:dyDescent="0.25">
      <c r="A21">
        <v>27</v>
      </c>
      <c r="B21" t="s">
        <v>77</v>
      </c>
      <c r="C21" t="s">
        <v>78</v>
      </c>
      <c r="D21" t="s">
        <v>79</v>
      </c>
      <c r="E21" t="s">
        <v>33</v>
      </c>
      <c r="F21">
        <v>1220</v>
      </c>
      <c r="G21">
        <v>108</v>
      </c>
      <c r="H21">
        <v>8.85</v>
      </c>
      <c r="I21">
        <v>50.39</v>
      </c>
      <c r="J21">
        <v>1087</v>
      </c>
      <c r="K21">
        <v>9.94</v>
      </c>
      <c r="L21">
        <v>4.13</v>
      </c>
      <c r="M21" s="1">
        <v>514.89</v>
      </c>
      <c r="N21">
        <v>42.2</v>
      </c>
      <c r="W21" s="2">
        <v>529.30250000000001</v>
      </c>
      <c r="X21" s="2">
        <v>-14.4085</v>
      </c>
    </row>
    <row r="22" spans="1:24" x14ac:dyDescent="0.25">
      <c r="A22">
        <v>28</v>
      </c>
      <c r="B22" t="s">
        <v>80</v>
      </c>
      <c r="C22" t="s">
        <v>81</v>
      </c>
      <c r="D22" t="s">
        <v>26</v>
      </c>
      <c r="F22">
        <v>300</v>
      </c>
      <c r="G22">
        <v>42</v>
      </c>
      <c r="H22">
        <v>14</v>
      </c>
      <c r="I22">
        <v>38.42</v>
      </c>
      <c r="J22">
        <v>202</v>
      </c>
      <c r="K22">
        <v>20.79</v>
      </c>
      <c r="L22">
        <v>12.81</v>
      </c>
      <c r="M22" s="1">
        <v>93.89</v>
      </c>
      <c r="N22">
        <v>31.3</v>
      </c>
      <c r="P22" s="2">
        <v>18.3935</v>
      </c>
      <c r="Q22" s="2">
        <v>4.3739999999999997</v>
      </c>
      <c r="R22" s="2">
        <v>-2.6385000000000001</v>
      </c>
      <c r="S22" s="2">
        <v>52.720500000000001</v>
      </c>
      <c r="T22" s="2">
        <v>6.1340000000000003</v>
      </c>
      <c r="U22" s="2">
        <v>37.176499999999997</v>
      </c>
      <c r="V22" s="2">
        <v>-0.3715</v>
      </c>
      <c r="W22" s="2">
        <v>-19.599</v>
      </c>
      <c r="X22" s="2">
        <v>-2.2999999999999998</v>
      </c>
    </row>
    <row r="23" spans="1:24" s="3" customFormat="1" x14ac:dyDescent="0.25">
      <c r="A23">
        <v>30</v>
      </c>
      <c r="B23" t="s">
        <v>82</v>
      </c>
      <c r="C23" t="s">
        <v>83</v>
      </c>
      <c r="D23" t="s">
        <v>26</v>
      </c>
      <c r="E23"/>
      <c r="F23">
        <v>32</v>
      </c>
      <c r="G23">
        <v>2</v>
      </c>
      <c r="H23">
        <v>6.25</v>
      </c>
      <c r="I23">
        <v>0</v>
      </c>
      <c r="J23">
        <v>12</v>
      </c>
      <c r="K23">
        <v>16.670000000000002</v>
      </c>
      <c r="L23">
        <v>0</v>
      </c>
      <c r="M23" s="1">
        <v>0.88</v>
      </c>
      <c r="N23">
        <v>2.73</v>
      </c>
      <c r="O23" s="2"/>
      <c r="P23" s="2"/>
      <c r="Q23" s="2">
        <v>-3</v>
      </c>
      <c r="R23" s="2">
        <v>7.8250000000000002</v>
      </c>
      <c r="S23" s="2">
        <v>17.05</v>
      </c>
      <c r="T23" s="2">
        <v>-1</v>
      </c>
      <c r="U23" s="2">
        <v>-1</v>
      </c>
      <c r="V23" s="2">
        <v>-7</v>
      </c>
      <c r="W23" s="2">
        <v>-4</v>
      </c>
      <c r="X23" s="2">
        <v>-8</v>
      </c>
    </row>
    <row r="24" spans="1:24" x14ac:dyDescent="0.25">
      <c r="A24">
        <v>31</v>
      </c>
      <c r="B24" t="s">
        <v>84</v>
      </c>
      <c r="C24" t="s">
        <v>85</v>
      </c>
      <c r="D24" t="s">
        <v>26</v>
      </c>
      <c r="F24">
        <v>63</v>
      </c>
      <c r="G24">
        <v>6</v>
      </c>
      <c r="H24">
        <v>9.52</v>
      </c>
      <c r="I24">
        <v>46.13</v>
      </c>
      <c r="J24">
        <v>63</v>
      </c>
      <c r="K24">
        <v>9.52</v>
      </c>
      <c r="L24">
        <v>73.22</v>
      </c>
      <c r="M24" s="1">
        <v>83.23</v>
      </c>
      <c r="N24">
        <v>132.11000000000001</v>
      </c>
      <c r="S24" s="2">
        <v>-10</v>
      </c>
      <c r="T24" s="2">
        <v>-0.27450000000000002</v>
      </c>
      <c r="U24" s="2">
        <v>-1.0225</v>
      </c>
      <c r="V24" s="2">
        <v>112.8165</v>
      </c>
      <c r="W24" s="2">
        <v>-12.29</v>
      </c>
      <c r="X24" s="2">
        <v>-6</v>
      </c>
    </row>
    <row r="25" spans="1:24" s="3" customFormat="1" x14ac:dyDescent="0.25">
      <c r="A25">
        <v>32</v>
      </c>
      <c r="B25" t="s">
        <v>86</v>
      </c>
      <c r="C25" t="s">
        <v>37</v>
      </c>
      <c r="D25" t="s">
        <v>26</v>
      </c>
      <c r="E25"/>
      <c r="F25">
        <v>36</v>
      </c>
      <c r="G25">
        <v>6</v>
      </c>
      <c r="H25">
        <v>16.670000000000002</v>
      </c>
      <c r="I25">
        <v>22.71</v>
      </c>
      <c r="J25">
        <v>13</v>
      </c>
      <c r="K25">
        <v>46.15</v>
      </c>
      <c r="L25">
        <v>63.08</v>
      </c>
      <c r="M25" s="1">
        <v>32.049999999999997</v>
      </c>
      <c r="N25">
        <v>89.04</v>
      </c>
      <c r="O25" s="2"/>
      <c r="P25" s="2"/>
      <c r="Q25" s="2"/>
      <c r="R25" s="2"/>
      <c r="S25" s="2"/>
      <c r="T25" s="2"/>
      <c r="U25" s="2"/>
      <c r="V25" s="2"/>
      <c r="W25" s="2"/>
      <c r="X25" s="2">
        <v>32.054000000000002</v>
      </c>
    </row>
    <row r="26" spans="1:24" x14ac:dyDescent="0.25">
      <c r="A26">
        <v>33</v>
      </c>
      <c r="B26" t="s">
        <v>87</v>
      </c>
      <c r="C26" t="s">
        <v>88</v>
      </c>
      <c r="D26" t="s">
        <v>26</v>
      </c>
      <c r="F26">
        <v>37</v>
      </c>
      <c r="G26">
        <v>3</v>
      </c>
      <c r="H26">
        <v>8.11</v>
      </c>
      <c r="I26">
        <v>-5</v>
      </c>
      <c r="J26">
        <v>31</v>
      </c>
      <c r="K26">
        <v>9.68</v>
      </c>
      <c r="L26">
        <v>-13.51</v>
      </c>
      <c r="M26" s="1">
        <v>2.95</v>
      </c>
      <c r="N26">
        <v>7.99</v>
      </c>
      <c r="Q26" s="2">
        <v>-10</v>
      </c>
      <c r="S26" s="2">
        <v>11.345000000000001</v>
      </c>
      <c r="T26" s="2">
        <v>-3</v>
      </c>
      <c r="U26" s="2">
        <v>12.39</v>
      </c>
      <c r="V26" s="2">
        <v>3.22</v>
      </c>
      <c r="W26" s="2">
        <v>-9</v>
      </c>
      <c r="X26" s="2">
        <v>-2</v>
      </c>
    </row>
    <row r="27" spans="1:24" x14ac:dyDescent="0.25">
      <c r="A27">
        <v>34</v>
      </c>
      <c r="B27" t="s">
        <v>89</v>
      </c>
      <c r="C27" t="s">
        <v>90</v>
      </c>
      <c r="D27" t="s">
        <v>26</v>
      </c>
      <c r="F27">
        <v>108</v>
      </c>
      <c r="G27">
        <v>5</v>
      </c>
      <c r="H27">
        <v>4.63</v>
      </c>
      <c r="I27">
        <v>46.91</v>
      </c>
      <c r="J27">
        <v>100</v>
      </c>
      <c r="K27">
        <v>5</v>
      </c>
      <c r="L27">
        <v>43.44</v>
      </c>
      <c r="M27" s="1">
        <v>112.44</v>
      </c>
      <c r="N27">
        <v>104.11</v>
      </c>
      <c r="Q27" s="2">
        <v>-8</v>
      </c>
      <c r="R27" s="2">
        <v>-7</v>
      </c>
      <c r="S27" s="2">
        <v>-10</v>
      </c>
      <c r="T27" s="2">
        <v>-5.6920000000000002</v>
      </c>
      <c r="U27" s="2">
        <v>-12</v>
      </c>
      <c r="V27" s="2">
        <v>191.90299999999999</v>
      </c>
      <c r="W27" s="2">
        <v>-21.77</v>
      </c>
      <c r="X27" s="2">
        <v>-15</v>
      </c>
    </row>
    <row r="28" spans="1:24" x14ac:dyDescent="0.25">
      <c r="A28">
        <v>35</v>
      </c>
      <c r="B28" t="s">
        <v>91</v>
      </c>
      <c r="C28" t="s">
        <v>83</v>
      </c>
      <c r="D28" t="s">
        <v>26</v>
      </c>
      <c r="F28">
        <v>83</v>
      </c>
      <c r="G28">
        <v>7</v>
      </c>
      <c r="H28">
        <v>8.43</v>
      </c>
      <c r="I28">
        <v>43.5</v>
      </c>
      <c r="J28">
        <v>20</v>
      </c>
      <c r="K28">
        <v>35</v>
      </c>
      <c r="L28">
        <v>52.41</v>
      </c>
      <c r="M28" s="1">
        <v>97.68</v>
      </c>
      <c r="N28">
        <v>117.69</v>
      </c>
      <c r="P28" s="2">
        <v>-10</v>
      </c>
      <c r="Q28" s="2">
        <v>-6</v>
      </c>
      <c r="R28" s="2">
        <v>-2</v>
      </c>
      <c r="S28" s="2">
        <v>26.751000000000001</v>
      </c>
      <c r="T28" s="2">
        <v>5.2234999999999996</v>
      </c>
      <c r="U28" s="2">
        <v>98.2</v>
      </c>
      <c r="V28" s="2">
        <v>-8</v>
      </c>
      <c r="W28" s="2">
        <v>-4.68</v>
      </c>
      <c r="X28" s="2">
        <v>-1.8154999999999999</v>
      </c>
    </row>
    <row r="29" spans="1:24" x14ac:dyDescent="0.25">
      <c r="A29">
        <v>36</v>
      </c>
      <c r="B29" t="s">
        <v>92</v>
      </c>
      <c r="C29" t="s">
        <v>37</v>
      </c>
      <c r="D29" t="s">
        <v>26</v>
      </c>
      <c r="F29">
        <v>23</v>
      </c>
      <c r="G29">
        <v>2</v>
      </c>
      <c r="H29">
        <v>8.6999999999999993</v>
      </c>
      <c r="I29">
        <v>-9</v>
      </c>
      <c r="J29">
        <v>8</v>
      </c>
      <c r="K29">
        <v>25</v>
      </c>
      <c r="L29">
        <v>-39.130000000000003</v>
      </c>
      <c r="M29" s="1">
        <v>-6.13</v>
      </c>
      <c r="N29">
        <v>-26.66</v>
      </c>
      <c r="X29" s="2">
        <v>-6.1325000000000003</v>
      </c>
    </row>
    <row r="30" spans="1:24" x14ac:dyDescent="0.25">
      <c r="A30">
        <v>38</v>
      </c>
      <c r="B30" t="s">
        <v>93</v>
      </c>
      <c r="C30" t="s">
        <v>94</v>
      </c>
      <c r="D30" t="s">
        <v>26</v>
      </c>
      <c r="E30" t="s">
        <v>95</v>
      </c>
      <c r="F30">
        <v>86</v>
      </c>
      <c r="G30">
        <v>13</v>
      </c>
      <c r="H30">
        <v>15.12</v>
      </c>
      <c r="I30">
        <v>0.53</v>
      </c>
      <c r="J30">
        <v>83</v>
      </c>
      <c r="K30">
        <v>15.66</v>
      </c>
      <c r="L30">
        <v>0.62</v>
      </c>
      <c r="M30" s="1">
        <v>-2.37</v>
      </c>
      <c r="N30">
        <v>-2.75</v>
      </c>
      <c r="U30" s="2">
        <v>14.577</v>
      </c>
      <c r="V30" s="2">
        <v>-9.7620000000000005</v>
      </c>
      <c r="W30" s="2">
        <v>-3.8875000000000002</v>
      </c>
      <c r="X30" s="2">
        <v>-3.2949999999999999</v>
      </c>
    </row>
    <row r="31" spans="1:24" x14ac:dyDescent="0.25">
      <c r="A31" s="3">
        <v>39</v>
      </c>
      <c r="B31" s="3" t="s">
        <v>96</v>
      </c>
      <c r="C31" s="3" t="s">
        <v>97</v>
      </c>
      <c r="D31" s="3" t="s">
        <v>44</v>
      </c>
      <c r="E31" s="3" t="s">
        <v>33</v>
      </c>
      <c r="F31" s="3">
        <v>4549</v>
      </c>
      <c r="G31" s="3">
        <v>181</v>
      </c>
      <c r="H31" s="3">
        <v>3.98</v>
      </c>
      <c r="I31" s="3">
        <v>-1052.5</v>
      </c>
      <c r="J31" s="3">
        <v>3733</v>
      </c>
      <c r="K31" s="3">
        <v>4.8499999999999996</v>
      </c>
      <c r="L31" s="3">
        <v>-23.14</v>
      </c>
      <c r="M31" s="3">
        <v>73.7</v>
      </c>
      <c r="N31" s="3">
        <v>1.62</v>
      </c>
      <c r="O31" s="4"/>
      <c r="P31" s="4"/>
      <c r="Q31" s="4"/>
      <c r="R31" s="4"/>
      <c r="S31" s="4"/>
      <c r="T31" s="4"/>
      <c r="U31" s="4"/>
      <c r="V31" s="4"/>
      <c r="W31" s="4">
        <v>-223.9965</v>
      </c>
      <c r="X31" s="4">
        <v>297.69299999999998</v>
      </c>
    </row>
    <row r="32" spans="1:24" x14ac:dyDescent="0.25">
      <c r="A32">
        <v>40</v>
      </c>
      <c r="B32" t="s">
        <v>98</v>
      </c>
      <c r="C32" t="s">
        <v>99</v>
      </c>
      <c r="D32" t="s">
        <v>100</v>
      </c>
      <c r="E32" t="s">
        <v>33</v>
      </c>
      <c r="F32">
        <v>343</v>
      </c>
      <c r="G32">
        <v>18</v>
      </c>
      <c r="H32">
        <v>5.25</v>
      </c>
      <c r="I32">
        <v>-89.5</v>
      </c>
      <c r="J32">
        <v>317</v>
      </c>
      <c r="K32">
        <v>5.68</v>
      </c>
      <c r="L32">
        <v>-26.09</v>
      </c>
      <c r="M32" s="1">
        <v>-41.77</v>
      </c>
      <c r="N32">
        <v>-12.18</v>
      </c>
      <c r="W32" s="2">
        <v>-2.411</v>
      </c>
      <c r="X32" s="2">
        <v>-39.356000000000002</v>
      </c>
    </row>
    <row r="33" spans="1:24" x14ac:dyDescent="0.25">
      <c r="A33">
        <v>41</v>
      </c>
      <c r="B33" t="s">
        <v>101</v>
      </c>
      <c r="C33" t="s">
        <v>37</v>
      </c>
      <c r="D33" t="s">
        <v>55</v>
      </c>
      <c r="E33" t="s">
        <v>33</v>
      </c>
      <c r="F33">
        <v>1042</v>
      </c>
      <c r="G33">
        <v>54</v>
      </c>
      <c r="H33">
        <v>5.18</v>
      </c>
      <c r="I33">
        <v>-162.5</v>
      </c>
      <c r="J33">
        <v>799</v>
      </c>
      <c r="K33">
        <v>6.76</v>
      </c>
      <c r="L33">
        <v>-15.6</v>
      </c>
      <c r="M33" s="1">
        <v>107.25</v>
      </c>
      <c r="N33">
        <v>10.29</v>
      </c>
      <c r="X33" s="2">
        <v>107.255</v>
      </c>
    </row>
    <row r="34" spans="1:24" x14ac:dyDescent="0.25">
      <c r="A34">
        <v>42</v>
      </c>
      <c r="B34" t="s">
        <v>102</v>
      </c>
      <c r="C34" t="s">
        <v>37</v>
      </c>
      <c r="D34" t="s">
        <v>103</v>
      </c>
      <c r="E34" t="s">
        <v>33</v>
      </c>
      <c r="F34">
        <v>384</v>
      </c>
      <c r="G34">
        <v>28</v>
      </c>
      <c r="H34">
        <v>7.29</v>
      </c>
      <c r="I34">
        <v>-137.41999999999999</v>
      </c>
      <c r="J34">
        <v>290</v>
      </c>
      <c r="K34">
        <v>9.66</v>
      </c>
      <c r="L34">
        <v>-35.79</v>
      </c>
      <c r="M34" s="1">
        <v>-81.37</v>
      </c>
      <c r="N34">
        <v>-21.19</v>
      </c>
      <c r="X34" s="2">
        <v>-81.373999999999995</v>
      </c>
    </row>
    <row r="35" spans="1:24" x14ac:dyDescent="0.25">
      <c r="A35">
        <v>43</v>
      </c>
      <c r="B35" t="s">
        <v>104</v>
      </c>
      <c r="C35" t="s">
        <v>105</v>
      </c>
      <c r="D35" t="s">
        <v>26</v>
      </c>
      <c r="F35">
        <v>73</v>
      </c>
      <c r="G35">
        <v>16</v>
      </c>
      <c r="H35">
        <v>21.92</v>
      </c>
      <c r="I35">
        <v>4.97</v>
      </c>
      <c r="J35">
        <v>72</v>
      </c>
      <c r="K35">
        <v>22.22</v>
      </c>
      <c r="L35">
        <v>6.81</v>
      </c>
      <c r="M35" s="1">
        <v>10.79</v>
      </c>
      <c r="N35">
        <v>14.78</v>
      </c>
      <c r="U35" s="2">
        <v>-2</v>
      </c>
      <c r="V35" s="2">
        <v>8.7665000000000006</v>
      </c>
      <c r="W35" s="2">
        <v>15.141</v>
      </c>
      <c r="X35" s="2">
        <v>-11.115500000000001</v>
      </c>
    </row>
    <row r="36" spans="1:24" x14ac:dyDescent="0.25">
      <c r="A36">
        <v>44</v>
      </c>
      <c r="B36" t="s">
        <v>106</v>
      </c>
      <c r="C36" t="s">
        <v>107</v>
      </c>
      <c r="D36" t="s">
        <v>108</v>
      </c>
      <c r="F36">
        <v>322</v>
      </c>
      <c r="G36">
        <v>32</v>
      </c>
      <c r="H36">
        <v>9.94</v>
      </c>
      <c r="I36">
        <v>-3.17</v>
      </c>
      <c r="J36">
        <v>284</v>
      </c>
      <c r="K36">
        <v>11.27</v>
      </c>
      <c r="L36">
        <v>-0.98</v>
      </c>
      <c r="M36" s="1">
        <v>98.83</v>
      </c>
      <c r="N36">
        <v>30.69</v>
      </c>
      <c r="W36" s="2">
        <v>89.927000000000007</v>
      </c>
      <c r="X36" s="2">
        <v>8.8985000000000003</v>
      </c>
    </row>
    <row r="37" spans="1:24" x14ac:dyDescent="0.25">
      <c r="A37">
        <v>45</v>
      </c>
      <c r="B37" t="s">
        <v>109</v>
      </c>
      <c r="C37" t="s">
        <v>110</v>
      </c>
      <c r="D37" t="s">
        <v>26</v>
      </c>
      <c r="F37">
        <v>2289</v>
      </c>
      <c r="G37">
        <v>297</v>
      </c>
      <c r="H37">
        <v>12.98</v>
      </c>
      <c r="I37">
        <v>-252.18</v>
      </c>
      <c r="J37">
        <v>1161</v>
      </c>
      <c r="K37">
        <v>25.58</v>
      </c>
      <c r="L37">
        <v>-11.02</v>
      </c>
      <c r="M37" s="1">
        <v>326.92</v>
      </c>
      <c r="N37">
        <v>14.28</v>
      </c>
      <c r="O37" s="2">
        <v>-43.133499999999998</v>
      </c>
      <c r="P37" s="2">
        <v>38.036499999999997</v>
      </c>
      <c r="Q37" s="2">
        <v>287.23649999999998</v>
      </c>
      <c r="R37" s="2">
        <v>2.3445</v>
      </c>
      <c r="S37" s="2">
        <v>13.331</v>
      </c>
      <c r="T37" s="2">
        <v>76.141000000000005</v>
      </c>
      <c r="U37" s="2">
        <v>58.203499999999998</v>
      </c>
      <c r="V37" s="2">
        <v>-74.128500000000003</v>
      </c>
      <c r="W37" s="2">
        <v>9.9024999999999999</v>
      </c>
      <c r="X37" s="2">
        <v>-41.012</v>
      </c>
    </row>
    <row r="38" spans="1:24" x14ac:dyDescent="0.25">
      <c r="A38">
        <v>49</v>
      </c>
      <c r="B38" t="s">
        <v>111</v>
      </c>
      <c r="C38" t="s">
        <v>112</v>
      </c>
      <c r="D38" t="s">
        <v>26</v>
      </c>
      <c r="F38">
        <v>41</v>
      </c>
      <c r="G38">
        <v>3</v>
      </c>
      <c r="H38">
        <v>7.32</v>
      </c>
      <c r="I38">
        <v>-22.5</v>
      </c>
      <c r="J38">
        <v>34</v>
      </c>
      <c r="K38">
        <v>8.82</v>
      </c>
      <c r="L38">
        <v>-54.88</v>
      </c>
      <c r="M38" s="1">
        <v>-20.43</v>
      </c>
      <c r="N38">
        <v>-49.84</v>
      </c>
      <c r="X38" s="2">
        <v>-20.4345</v>
      </c>
    </row>
    <row r="39" spans="1:24" x14ac:dyDescent="0.25">
      <c r="A39">
        <v>51</v>
      </c>
      <c r="B39" t="s">
        <v>113</v>
      </c>
      <c r="C39" t="s">
        <v>114</v>
      </c>
      <c r="D39" t="s">
        <v>115</v>
      </c>
      <c r="F39">
        <v>340</v>
      </c>
      <c r="G39">
        <v>27</v>
      </c>
      <c r="H39">
        <v>7.94</v>
      </c>
      <c r="I39">
        <v>-38.5</v>
      </c>
      <c r="J39">
        <v>242</v>
      </c>
      <c r="K39">
        <v>11.16</v>
      </c>
      <c r="L39">
        <v>-11.32</v>
      </c>
      <c r="M39" s="1">
        <v>28.37</v>
      </c>
      <c r="N39">
        <v>8.34</v>
      </c>
      <c r="T39" s="2">
        <v>-33.179000000000002</v>
      </c>
      <c r="U39" s="2">
        <v>-68.301500000000004</v>
      </c>
      <c r="V39" s="2">
        <v>137.12200000000001</v>
      </c>
      <c r="W39" s="2">
        <v>-7.2685000000000004</v>
      </c>
    </row>
    <row r="40" spans="1:24" x14ac:dyDescent="0.25">
      <c r="A40">
        <v>52</v>
      </c>
      <c r="B40" t="s">
        <v>116</v>
      </c>
      <c r="C40" t="s">
        <v>114</v>
      </c>
      <c r="D40" t="s">
        <v>26</v>
      </c>
      <c r="F40">
        <v>12</v>
      </c>
      <c r="G40">
        <v>0</v>
      </c>
      <c r="H40">
        <v>0</v>
      </c>
      <c r="I40">
        <v>-12</v>
      </c>
      <c r="J40">
        <v>11</v>
      </c>
      <c r="K40">
        <v>0</v>
      </c>
      <c r="L40">
        <v>-100</v>
      </c>
      <c r="M40" s="1">
        <v>-12</v>
      </c>
      <c r="N40">
        <v>-100</v>
      </c>
      <c r="T40" s="2">
        <v>-5</v>
      </c>
      <c r="U40" s="2">
        <v>-3</v>
      </c>
      <c r="V40" s="2">
        <v>-4</v>
      </c>
    </row>
    <row r="41" spans="1:24" x14ac:dyDescent="0.25">
      <c r="A41">
        <v>53</v>
      </c>
      <c r="B41" t="s">
        <v>117</v>
      </c>
      <c r="C41" t="s">
        <v>118</v>
      </c>
      <c r="D41" t="s">
        <v>26</v>
      </c>
      <c r="E41" t="s">
        <v>33</v>
      </c>
      <c r="F41">
        <v>211</v>
      </c>
      <c r="G41">
        <v>25</v>
      </c>
      <c r="H41">
        <v>11.85</v>
      </c>
      <c r="I41">
        <v>27.2</v>
      </c>
      <c r="J41">
        <v>195</v>
      </c>
      <c r="K41">
        <v>12.82</v>
      </c>
      <c r="L41">
        <v>12.89</v>
      </c>
      <c r="M41" s="1">
        <v>68.37</v>
      </c>
      <c r="N41">
        <v>32.4</v>
      </c>
      <c r="X41" s="2">
        <v>68.372</v>
      </c>
    </row>
    <row r="42" spans="1:24" x14ac:dyDescent="0.25">
      <c r="A42">
        <v>54</v>
      </c>
      <c r="B42" t="s">
        <v>119</v>
      </c>
      <c r="C42" t="s">
        <v>120</v>
      </c>
      <c r="D42" t="s">
        <v>26</v>
      </c>
      <c r="F42">
        <v>91</v>
      </c>
      <c r="G42">
        <v>7</v>
      </c>
      <c r="H42">
        <v>7.69</v>
      </c>
      <c r="I42">
        <v>-5.5</v>
      </c>
      <c r="J42">
        <v>27</v>
      </c>
      <c r="K42">
        <v>25.93</v>
      </c>
      <c r="L42">
        <v>-6.04</v>
      </c>
      <c r="M42" s="1">
        <v>21.24</v>
      </c>
      <c r="N42">
        <v>23.34</v>
      </c>
      <c r="O42" s="2">
        <v>7.8414999999999999</v>
      </c>
      <c r="P42" s="2">
        <v>-3.911</v>
      </c>
      <c r="Q42" s="2">
        <v>-3.9750000000000001</v>
      </c>
      <c r="R42" s="2">
        <v>0.75149999999999995</v>
      </c>
      <c r="S42" s="2">
        <v>-13</v>
      </c>
      <c r="T42" s="2">
        <v>-10</v>
      </c>
      <c r="U42" s="2">
        <v>-1</v>
      </c>
      <c r="V42" s="2">
        <v>-8</v>
      </c>
      <c r="W42" s="2">
        <v>47.3</v>
      </c>
      <c r="X42" s="2">
        <v>5.234</v>
      </c>
    </row>
    <row r="43" spans="1:24" x14ac:dyDescent="0.25">
      <c r="A43">
        <v>55</v>
      </c>
      <c r="B43" t="s">
        <v>121</v>
      </c>
      <c r="C43" t="s">
        <v>122</v>
      </c>
      <c r="D43" t="s">
        <v>123</v>
      </c>
      <c r="F43">
        <v>65</v>
      </c>
      <c r="G43">
        <v>4</v>
      </c>
      <c r="H43">
        <v>6.15</v>
      </c>
      <c r="I43">
        <v>18</v>
      </c>
      <c r="J43">
        <v>49</v>
      </c>
      <c r="K43">
        <v>8.16</v>
      </c>
      <c r="L43">
        <v>27.69</v>
      </c>
      <c r="M43" s="1">
        <v>40.020000000000003</v>
      </c>
      <c r="N43">
        <v>61.57</v>
      </c>
      <c r="X43" s="2">
        <v>40.023000000000003</v>
      </c>
    </row>
    <row r="44" spans="1:24" x14ac:dyDescent="0.25">
      <c r="A44">
        <v>56</v>
      </c>
      <c r="B44" t="s">
        <v>124</v>
      </c>
      <c r="C44" t="s">
        <v>125</v>
      </c>
      <c r="D44" t="s">
        <v>26</v>
      </c>
      <c r="F44">
        <v>90</v>
      </c>
      <c r="G44">
        <v>8</v>
      </c>
      <c r="H44">
        <v>8.89</v>
      </c>
      <c r="I44">
        <v>-36.24</v>
      </c>
      <c r="J44">
        <v>18</v>
      </c>
      <c r="K44">
        <v>44.44</v>
      </c>
      <c r="L44">
        <v>-40.270000000000003</v>
      </c>
      <c r="M44" s="1">
        <v>-29.3</v>
      </c>
      <c r="N44">
        <v>-32.56</v>
      </c>
      <c r="X44" s="2">
        <v>-29.3035</v>
      </c>
    </row>
    <row r="45" spans="1:24" x14ac:dyDescent="0.25">
      <c r="A45">
        <v>57</v>
      </c>
      <c r="B45" t="s">
        <v>126</v>
      </c>
      <c r="C45" t="s">
        <v>127</v>
      </c>
      <c r="D45" t="s">
        <v>128</v>
      </c>
      <c r="E45" t="s">
        <v>129</v>
      </c>
      <c r="F45">
        <v>270</v>
      </c>
      <c r="G45">
        <v>32</v>
      </c>
      <c r="H45">
        <v>11.85</v>
      </c>
      <c r="I45">
        <v>58.96</v>
      </c>
      <c r="J45">
        <v>240</v>
      </c>
      <c r="K45">
        <v>13.33</v>
      </c>
      <c r="L45">
        <v>21.84</v>
      </c>
      <c r="M45" s="1">
        <v>124.49</v>
      </c>
      <c r="N45">
        <v>46.11</v>
      </c>
      <c r="W45" s="2">
        <v>-23</v>
      </c>
      <c r="X45" s="2">
        <v>147.4915</v>
      </c>
    </row>
    <row r="46" spans="1:24" x14ac:dyDescent="0.25">
      <c r="A46">
        <v>59</v>
      </c>
      <c r="B46" t="s">
        <v>130</v>
      </c>
      <c r="C46" t="s">
        <v>131</v>
      </c>
      <c r="D46" t="s">
        <v>26</v>
      </c>
      <c r="F46">
        <v>64</v>
      </c>
      <c r="G46">
        <v>10</v>
      </c>
      <c r="H46">
        <v>15.63</v>
      </c>
      <c r="I46">
        <v>0.09</v>
      </c>
      <c r="J46">
        <v>58</v>
      </c>
      <c r="K46">
        <v>17.239999999999998</v>
      </c>
      <c r="L46">
        <v>0.14000000000000001</v>
      </c>
      <c r="M46" s="1">
        <v>9.3000000000000007</v>
      </c>
      <c r="N46">
        <v>14.53</v>
      </c>
      <c r="Q46" s="2">
        <v>-2</v>
      </c>
      <c r="R46" s="2">
        <v>-3</v>
      </c>
      <c r="S46" s="2">
        <v>3.2</v>
      </c>
      <c r="T46" s="2">
        <v>-6</v>
      </c>
      <c r="U46" s="2">
        <v>7.9264999999999999</v>
      </c>
      <c r="V46" s="2">
        <v>15.688499999999999</v>
      </c>
      <c r="W46" s="2">
        <v>-5.0765000000000002</v>
      </c>
      <c r="X46" s="2">
        <v>-1.44</v>
      </c>
    </row>
    <row r="47" spans="1:24" x14ac:dyDescent="0.25">
      <c r="A47">
        <v>60</v>
      </c>
      <c r="B47" t="s">
        <v>132</v>
      </c>
      <c r="C47" t="s">
        <v>133</v>
      </c>
      <c r="D47" t="s">
        <v>26</v>
      </c>
      <c r="F47">
        <v>326</v>
      </c>
      <c r="G47">
        <v>10</v>
      </c>
      <c r="H47">
        <v>3.07</v>
      </c>
      <c r="I47">
        <v>-142.75</v>
      </c>
      <c r="J47">
        <v>134</v>
      </c>
      <c r="K47">
        <v>7.46</v>
      </c>
      <c r="L47">
        <v>-43.79</v>
      </c>
      <c r="M47" s="1">
        <v>71.09</v>
      </c>
      <c r="N47">
        <v>21.81</v>
      </c>
      <c r="U47" s="2">
        <v>-54.11</v>
      </c>
      <c r="V47" s="2">
        <v>-49.854500000000002</v>
      </c>
      <c r="W47" s="2">
        <v>35.720999999999997</v>
      </c>
      <c r="X47" s="2">
        <v>139.3305</v>
      </c>
    </row>
    <row r="48" spans="1:24" x14ac:dyDescent="0.25">
      <c r="A48">
        <v>61</v>
      </c>
      <c r="B48" t="s">
        <v>134</v>
      </c>
      <c r="C48" t="s">
        <v>135</v>
      </c>
      <c r="D48" t="s">
        <v>136</v>
      </c>
      <c r="F48">
        <v>226</v>
      </c>
      <c r="G48">
        <v>7</v>
      </c>
      <c r="H48">
        <v>3.1</v>
      </c>
      <c r="I48">
        <v>-83</v>
      </c>
      <c r="J48">
        <v>111</v>
      </c>
      <c r="K48">
        <v>6.31</v>
      </c>
      <c r="L48">
        <v>-36.729999999999997</v>
      </c>
      <c r="M48" s="1">
        <v>-12.54</v>
      </c>
      <c r="N48">
        <v>-5.55</v>
      </c>
      <c r="P48" s="2">
        <v>66.096500000000006</v>
      </c>
      <c r="Q48" s="2">
        <v>13.55</v>
      </c>
      <c r="R48" s="2">
        <v>-18</v>
      </c>
      <c r="S48" s="2">
        <v>-2.1</v>
      </c>
      <c r="T48" s="2">
        <v>-19</v>
      </c>
      <c r="U48" s="2">
        <v>-30</v>
      </c>
      <c r="V48" s="2">
        <v>-23</v>
      </c>
      <c r="W48" s="2">
        <v>-3.7</v>
      </c>
      <c r="X48" s="2">
        <v>3.617</v>
      </c>
    </row>
    <row r="49" spans="1:24" x14ac:dyDescent="0.25">
      <c r="A49">
        <v>62</v>
      </c>
      <c r="B49" t="s">
        <v>137</v>
      </c>
      <c r="C49" t="s">
        <v>138</v>
      </c>
      <c r="D49" t="s">
        <v>26</v>
      </c>
      <c r="F49">
        <v>189</v>
      </c>
      <c r="G49">
        <v>5</v>
      </c>
      <c r="H49">
        <v>2.65</v>
      </c>
      <c r="I49">
        <v>-8.6199999999999992</v>
      </c>
      <c r="J49">
        <v>72</v>
      </c>
      <c r="K49">
        <v>6.94</v>
      </c>
      <c r="L49">
        <v>-4.5599999999999996</v>
      </c>
      <c r="M49" s="1">
        <v>129.87</v>
      </c>
      <c r="N49">
        <v>68.709999999999994</v>
      </c>
      <c r="S49" s="2">
        <v>-4</v>
      </c>
      <c r="T49" s="2">
        <v>26.5305</v>
      </c>
      <c r="U49" s="2">
        <v>57.683</v>
      </c>
      <c r="V49" s="2">
        <v>-32</v>
      </c>
      <c r="W49" s="2">
        <v>107.776</v>
      </c>
      <c r="X49" s="2">
        <v>-26.119</v>
      </c>
    </row>
    <row r="50" spans="1:24" x14ac:dyDescent="0.25">
      <c r="A50">
        <v>63</v>
      </c>
      <c r="B50" t="s">
        <v>139</v>
      </c>
      <c r="C50" t="s">
        <v>140</v>
      </c>
      <c r="D50" t="s">
        <v>68</v>
      </c>
      <c r="F50">
        <v>777</v>
      </c>
      <c r="G50">
        <v>38</v>
      </c>
      <c r="H50">
        <v>4.8899999999999997</v>
      </c>
      <c r="I50">
        <v>-85.5</v>
      </c>
      <c r="J50">
        <v>366</v>
      </c>
      <c r="K50">
        <v>10.38</v>
      </c>
      <c r="L50">
        <v>-11</v>
      </c>
      <c r="M50" s="1">
        <v>180.38</v>
      </c>
      <c r="N50">
        <v>23.22</v>
      </c>
      <c r="T50" s="2">
        <v>2.4350000000000001</v>
      </c>
      <c r="U50" s="2">
        <v>-137.35550000000001</v>
      </c>
      <c r="V50" s="2">
        <v>124.56</v>
      </c>
      <c r="W50" s="2">
        <v>235.215</v>
      </c>
      <c r="X50" s="2">
        <v>-44.472999999999999</v>
      </c>
    </row>
    <row r="51" spans="1:24" x14ac:dyDescent="0.25">
      <c r="A51">
        <v>64</v>
      </c>
      <c r="B51" t="s">
        <v>141</v>
      </c>
      <c r="C51" t="s">
        <v>142</v>
      </c>
      <c r="D51" t="s">
        <v>26</v>
      </c>
      <c r="F51">
        <v>245</v>
      </c>
      <c r="G51">
        <v>23</v>
      </c>
      <c r="H51">
        <v>9.39</v>
      </c>
      <c r="I51">
        <v>6.75</v>
      </c>
      <c r="J51">
        <v>224</v>
      </c>
      <c r="K51">
        <v>10.27</v>
      </c>
      <c r="L51">
        <v>2.76</v>
      </c>
      <c r="M51" s="1">
        <v>68.72</v>
      </c>
      <c r="N51">
        <v>28.05</v>
      </c>
      <c r="U51" s="2">
        <v>-5</v>
      </c>
      <c r="V51" s="2">
        <v>14.369</v>
      </c>
      <c r="W51" s="2">
        <v>2.2014999999999998</v>
      </c>
      <c r="X51" s="2">
        <v>57.148499999999999</v>
      </c>
    </row>
    <row r="52" spans="1:24" x14ac:dyDescent="0.25">
      <c r="A52">
        <v>68</v>
      </c>
      <c r="B52" t="s">
        <v>143</v>
      </c>
      <c r="C52" t="s">
        <v>131</v>
      </c>
      <c r="D52" t="s">
        <v>26</v>
      </c>
      <c r="F52">
        <v>49</v>
      </c>
      <c r="G52">
        <v>9</v>
      </c>
      <c r="H52">
        <v>18.37</v>
      </c>
      <c r="I52">
        <v>6.09</v>
      </c>
      <c r="J52">
        <v>48</v>
      </c>
      <c r="K52">
        <v>18.75</v>
      </c>
      <c r="L52">
        <v>12.43</v>
      </c>
      <c r="M52" s="1">
        <v>14.3</v>
      </c>
      <c r="N52">
        <v>29.19</v>
      </c>
      <c r="Q52" s="2">
        <v>-4</v>
      </c>
      <c r="R52" s="2">
        <v>-1.1259999999999999</v>
      </c>
      <c r="S52" s="2">
        <v>-6</v>
      </c>
      <c r="T52" s="2">
        <v>-3.012</v>
      </c>
      <c r="U52" s="2">
        <v>-8.2520000000000007</v>
      </c>
      <c r="V52" s="2">
        <v>1.8779999999999999</v>
      </c>
      <c r="W52" s="2">
        <v>35.790500000000002</v>
      </c>
      <c r="X52" s="2">
        <v>-0.97650000000000003</v>
      </c>
    </row>
    <row r="53" spans="1:24" x14ac:dyDescent="0.25">
      <c r="A53">
        <v>71</v>
      </c>
      <c r="B53" t="s">
        <v>144</v>
      </c>
      <c r="C53" t="s">
        <v>145</v>
      </c>
      <c r="D53" t="s">
        <v>26</v>
      </c>
      <c r="F53">
        <v>314</v>
      </c>
      <c r="G53">
        <v>65</v>
      </c>
      <c r="H53">
        <v>20.7</v>
      </c>
      <c r="I53">
        <v>25.06</v>
      </c>
      <c r="J53">
        <v>300</v>
      </c>
      <c r="K53">
        <v>21.67</v>
      </c>
      <c r="L53">
        <v>7.98</v>
      </c>
      <c r="M53" s="1">
        <v>63.69</v>
      </c>
      <c r="N53">
        <v>20.28</v>
      </c>
      <c r="Q53" s="2">
        <v>-9.8315000000000001</v>
      </c>
      <c r="R53" s="2">
        <v>-6.0250000000000004</v>
      </c>
      <c r="S53" s="2">
        <v>10.7195</v>
      </c>
      <c r="T53" s="2">
        <v>9.7829999999999995</v>
      </c>
      <c r="U53" s="2">
        <v>24.558</v>
      </c>
      <c r="V53" s="2">
        <v>9.6974999999999998</v>
      </c>
      <c r="W53" s="2">
        <v>32.333500000000001</v>
      </c>
      <c r="X53" s="2">
        <v>-7.5425000000000004</v>
      </c>
    </row>
    <row r="54" spans="1:24" x14ac:dyDescent="0.25">
      <c r="A54">
        <v>72</v>
      </c>
      <c r="B54" t="s">
        <v>146</v>
      </c>
      <c r="C54" t="s">
        <v>145</v>
      </c>
      <c r="D54" t="s">
        <v>26</v>
      </c>
      <c r="F54">
        <v>35</v>
      </c>
      <c r="G54">
        <v>5</v>
      </c>
      <c r="H54">
        <v>14.29</v>
      </c>
      <c r="I54">
        <v>0.5</v>
      </c>
      <c r="J54">
        <v>34</v>
      </c>
      <c r="K54">
        <v>14.71</v>
      </c>
      <c r="L54">
        <v>1.43</v>
      </c>
      <c r="M54" s="1">
        <v>7.51</v>
      </c>
      <c r="N54">
        <v>21.45</v>
      </c>
      <c r="Q54" s="2">
        <v>-0.47049999999999997</v>
      </c>
      <c r="R54" s="2">
        <v>-6</v>
      </c>
      <c r="S54" s="2">
        <v>4.367</v>
      </c>
      <c r="T54" s="2">
        <v>-8</v>
      </c>
      <c r="U54" s="2">
        <v>-1</v>
      </c>
      <c r="V54" s="2">
        <v>-3</v>
      </c>
      <c r="W54" s="2">
        <v>24.609500000000001</v>
      </c>
      <c r="X54" s="2">
        <v>-3</v>
      </c>
    </row>
    <row r="55" spans="1:24" x14ac:dyDescent="0.25">
      <c r="A55">
        <v>73</v>
      </c>
      <c r="B55" t="s">
        <v>147</v>
      </c>
      <c r="C55" t="s">
        <v>145</v>
      </c>
      <c r="D55" t="s">
        <v>26</v>
      </c>
      <c r="F55">
        <v>178</v>
      </c>
      <c r="G55">
        <v>14</v>
      </c>
      <c r="H55">
        <v>7.87</v>
      </c>
      <c r="I55">
        <v>-31.25</v>
      </c>
      <c r="J55">
        <v>131</v>
      </c>
      <c r="K55">
        <v>10.69</v>
      </c>
      <c r="L55">
        <v>-17.559999999999999</v>
      </c>
      <c r="M55" s="1">
        <v>43.38</v>
      </c>
      <c r="N55">
        <v>24.37</v>
      </c>
      <c r="Q55" s="2">
        <v>-1.117</v>
      </c>
      <c r="R55" s="2">
        <v>-0.84450000000000003</v>
      </c>
      <c r="S55" s="2">
        <v>-24.837</v>
      </c>
      <c r="T55" s="2">
        <v>-5.6390000000000002</v>
      </c>
      <c r="U55" s="2">
        <v>62.8</v>
      </c>
      <c r="V55" s="2">
        <v>-30</v>
      </c>
      <c r="W55" s="2">
        <v>33.595500000000001</v>
      </c>
      <c r="X55" s="2">
        <v>9.4175000000000004</v>
      </c>
    </row>
    <row r="56" spans="1:24" x14ac:dyDescent="0.25">
      <c r="A56">
        <v>74</v>
      </c>
      <c r="B56" t="s">
        <v>148</v>
      </c>
      <c r="C56" t="s">
        <v>149</v>
      </c>
      <c r="D56" t="s">
        <v>26</v>
      </c>
      <c r="F56">
        <v>180</v>
      </c>
      <c r="G56">
        <v>18</v>
      </c>
      <c r="H56">
        <v>10</v>
      </c>
      <c r="I56">
        <v>-5.5</v>
      </c>
      <c r="J56">
        <v>108</v>
      </c>
      <c r="K56">
        <v>16.670000000000002</v>
      </c>
      <c r="L56">
        <v>-3.06</v>
      </c>
      <c r="M56" s="1">
        <v>69.040000000000006</v>
      </c>
      <c r="N56">
        <v>38.36</v>
      </c>
      <c r="P56" s="2">
        <v>-6.6985000000000001</v>
      </c>
      <c r="Q56" s="2">
        <v>-11.3475</v>
      </c>
      <c r="R56" s="2">
        <v>26.788499999999999</v>
      </c>
      <c r="S56" s="2">
        <v>-21.858000000000001</v>
      </c>
      <c r="T56" s="2">
        <v>76.292000000000002</v>
      </c>
      <c r="U56" s="2">
        <v>-8.625</v>
      </c>
      <c r="V56" s="2">
        <v>-5.6740000000000004</v>
      </c>
      <c r="W56" s="2">
        <v>30.162500000000001</v>
      </c>
      <c r="X56" s="2">
        <v>-10</v>
      </c>
    </row>
    <row r="57" spans="1:24" x14ac:dyDescent="0.25">
      <c r="A57">
        <v>75</v>
      </c>
      <c r="B57" t="s">
        <v>150</v>
      </c>
      <c r="C57" t="s">
        <v>151</v>
      </c>
      <c r="D57" t="s">
        <v>26</v>
      </c>
      <c r="F57">
        <v>46</v>
      </c>
      <c r="G57">
        <v>4</v>
      </c>
      <c r="H57">
        <v>8.6999999999999993</v>
      </c>
      <c r="I57">
        <v>-3.75</v>
      </c>
      <c r="J57">
        <v>43</v>
      </c>
      <c r="K57">
        <v>9.3000000000000007</v>
      </c>
      <c r="L57">
        <v>-8.15</v>
      </c>
      <c r="M57" s="1">
        <v>13.93</v>
      </c>
      <c r="N57">
        <v>30.27</v>
      </c>
      <c r="W57" s="2">
        <v>-10.7235</v>
      </c>
      <c r="X57" s="2">
        <v>24.65</v>
      </c>
    </row>
    <row r="58" spans="1:24" x14ac:dyDescent="0.25">
      <c r="A58">
        <v>79</v>
      </c>
      <c r="B58" t="s">
        <v>152</v>
      </c>
      <c r="C58" t="s">
        <v>81</v>
      </c>
      <c r="D58" t="s">
        <v>26</v>
      </c>
      <c r="F58">
        <v>136</v>
      </c>
      <c r="G58">
        <v>16</v>
      </c>
      <c r="H58">
        <v>11.76</v>
      </c>
      <c r="I58">
        <v>14.63</v>
      </c>
      <c r="J58">
        <v>76</v>
      </c>
      <c r="K58">
        <v>21.05</v>
      </c>
      <c r="L58">
        <v>10.76</v>
      </c>
      <c r="M58" s="1">
        <v>40.630000000000003</v>
      </c>
      <c r="N58">
        <v>29.87</v>
      </c>
      <c r="P58" s="2">
        <v>11.436500000000001</v>
      </c>
      <c r="Q58" s="2">
        <v>-13.702</v>
      </c>
      <c r="R58" s="2">
        <v>-7.1974999999999998</v>
      </c>
      <c r="S58" s="2">
        <v>0.84599999999999997</v>
      </c>
      <c r="T58" s="2">
        <v>44.655500000000004</v>
      </c>
      <c r="U58" s="2">
        <v>0.94099999999999995</v>
      </c>
      <c r="V58" s="2">
        <v>13.5215</v>
      </c>
      <c r="W58" s="2">
        <v>-13</v>
      </c>
      <c r="X58" s="2">
        <v>3.125</v>
      </c>
    </row>
    <row r="59" spans="1:24" x14ac:dyDescent="0.25">
      <c r="A59">
        <v>82</v>
      </c>
      <c r="B59" t="s">
        <v>153</v>
      </c>
      <c r="C59" t="s">
        <v>81</v>
      </c>
      <c r="D59" t="s">
        <v>26</v>
      </c>
      <c r="F59">
        <v>106</v>
      </c>
      <c r="G59">
        <v>13</v>
      </c>
      <c r="H59">
        <v>12.26</v>
      </c>
      <c r="I59">
        <v>-7.8</v>
      </c>
      <c r="J59">
        <v>94</v>
      </c>
      <c r="K59">
        <v>13.83</v>
      </c>
      <c r="L59">
        <v>-7.36</v>
      </c>
      <c r="M59" s="1">
        <v>6.79</v>
      </c>
      <c r="N59">
        <v>6.4</v>
      </c>
      <c r="P59" s="2">
        <v>-9</v>
      </c>
      <c r="Q59" s="2">
        <v>4.0190000000000001</v>
      </c>
      <c r="R59" s="2">
        <v>-3.63</v>
      </c>
      <c r="S59" s="2">
        <v>-16</v>
      </c>
      <c r="T59" s="2">
        <v>10.6555</v>
      </c>
      <c r="U59" s="2">
        <v>3.2</v>
      </c>
      <c r="V59" s="2">
        <v>7.85</v>
      </c>
      <c r="W59" s="2">
        <v>7.3144999999999998</v>
      </c>
      <c r="X59" s="2">
        <v>2.379</v>
      </c>
    </row>
    <row r="60" spans="1:24" x14ac:dyDescent="0.25">
      <c r="A60">
        <v>87</v>
      </c>
      <c r="B60" t="s">
        <v>154</v>
      </c>
      <c r="C60" t="s">
        <v>155</v>
      </c>
      <c r="D60" t="s">
        <v>26</v>
      </c>
      <c r="F60">
        <v>322</v>
      </c>
      <c r="G60">
        <v>39</v>
      </c>
      <c r="H60">
        <v>12.11</v>
      </c>
      <c r="I60">
        <v>-88.71</v>
      </c>
      <c r="J60">
        <v>205</v>
      </c>
      <c r="K60">
        <v>19.02</v>
      </c>
      <c r="L60">
        <v>-27.55</v>
      </c>
      <c r="M60" s="1">
        <v>-70.34</v>
      </c>
      <c r="N60">
        <v>-21.85</v>
      </c>
      <c r="S60" s="2">
        <v>1.6679999999999999</v>
      </c>
      <c r="T60" s="2">
        <v>-28.475000000000001</v>
      </c>
      <c r="U60" s="2">
        <v>-35.295000000000002</v>
      </c>
      <c r="V60" s="2">
        <v>-13.683999999999999</v>
      </c>
      <c r="W60" s="2">
        <v>14.521000000000001</v>
      </c>
      <c r="X60" s="2">
        <v>-9.0775000000000006</v>
      </c>
    </row>
    <row r="61" spans="1:24" x14ac:dyDescent="0.25">
      <c r="A61">
        <v>88</v>
      </c>
      <c r="B61" t="s">
        <v>156</v>
      </c>
      <c r="C61" t="s">
        <v>157</v>
      </c>
      <c r="D61" t="s">
        <v>26</v>
      </c>
      <c r="F61">
        <v>145</v>
      </c>
      <c r="G61">
        <v>5</v>
      </c>
      <c r="H61">
        <v>3.45</v>
      </c>
      <c r="I61">
        <v>-30.62</v>
      </c>
      <c r="J61">
        <v>46</v>
      </c>
      <c r="K61">
        <v>10.87</v>
      </c>
      <c r="L61">
        <v>-21.12</v>
      </c>
      <c r="M61" s="1">
        <v>42.31</v>
      </c>
      <c r="N61">
        <v>29.18</v>
      </c>
      <c r="T61" s="2">
        <v>-23.327999999999999</v>
      </c>
      <c r="U61" s="2">
        <v>76.683000000000007</v>
      </c>
      <c r="V61" s="2">
        <v>-31</v>
      </c>
      <c r="W61" s="2">
        <v>24.461500000000001</v>
      </c>
      <c r="X61" s="2">
        <v>-4.5019999999999998</v>
      </c>
    </row>
    <row r="62" spans="1:24" x14ac:dyDescent="0.25">
      <c r="A62">
        <v>90</v>
      </c>
      <c r="B62" t="s">
        <v>158</v>
      </c>
      <c r="C62" t="s">
        <v>159</v>
      </c>
      <c r="D62" t="s">
        <v>160</v>
      </c>
      <c r="E62" t="s">
        <v>33</v>
      </c>
      <c r="F62">
        <v>1341</v>
      </c>
      <c r="G62">
        <v>106</v>
      </c>
      <c r="H62">
        <v>7.9</v>
      </c>
      <c r="I62">
        <v>-291.12</v>
      </c>
      <c r="J62">
        <v>1145</v>
      </c>
      <c r="K62">
        <v>9.26</v>
      </c>
      <c r="L62">
        <v>-21.71</v>
      </c>
      <c r="M62" s="1">
        <v>33.909999999999997</v>
      </c>
      <c r="N62">
        <v>2.5299999999999998</v>
      </c>
      <c r="W62" s="2">
        <v>55.045000000000002</v>
      </c>
      <c r="X62" s="2">
        <v>-21.13</v>
      </c>
    </row>
    <row r="63" spans="1:24" x14ac:dyDescent="0.25">
      <c r="A63">
        <v>91</v>
      </c>
      <c r="B63" t="s">
        <v>161</v>
      </c>
      <c r="C63" t="s">
        <v>162</v>
      </c>
      <c r="D63" t="s">
        <v>163</v>
      </c>
      <c r="E63" t="s">
        <v>164</v>
      </c>
      <c r="F63">
        <v>316</v>
      </c>
      <c r="G63">
        <v>3</v>
      </c>
      <c r="H63">
        <v>0.95</v>
      </c>
      <c r="I63">
        <v>-137</v>
      </c>
      <c r="J63">
        <v>289</v>
      </c>
      <c r="K63">
        <v>1.04</v>
      </c>
      <c r="L63">
        <v>-43.35</v>
      </c>
      <c r="M63" s="1">
        <v>25.37</v>
      </c>
      <c r="N63">
        <v>8.0299999999999994</v>
      </c>
      <c r="W63" s="2">
        <v>95.251000000000005</v>
      </c>
      <c r="X63" s="2">
        <v>-69.88</v>
      </c>
    </row>
    <row r="64" spans="1:24" x14ac:dyDescent="0.25">
      <c r="A64">
        <v>92</v>
      </c>
      <c r="B64" t="s">
        <v>165</v>
      </c>
      <c r="C64" t="s">
        <v>166</v>
      </c>
      <c r="D64" t="s">
        <v>26</v>
      </c>
      <c r="F64">
        <v>17</v>
      </c>
      <c r="G64">
        <v>1</v>
      </c>
      <c r="H64">
        <v>5.88</v>
      </c>
      <c r="I64">
        <v>0</v>
      </c>
      <c r="J64">
        <v>16</v>
      </c>
      <c r="K64">
        <v>6.25</v>
      </c>
      <c r="L64">
        <v>0</v>
      </c>
      <c r="M64" s="1">
        <v>3.95</v>
      </c>
      <c r="N64">
        <v>23.24</v>
      </c>
      <c r="Q64" s="2">
        <v>-2</v>
      </c>
      <c r="R64" s="2">
        <v>-2</v>
      </c>
      <c r="S64" s="2">
        <v>14.95</v>
      </c>
      <c r="T64" s="2">
        <v>-4</v>
      </c>
      <c r="U64" s="2">
        <v>-3</v>
      </c>
    </row>
    <row r="65" spans="1:24" x14ac:dyDescent="0.25">
      <c r="A65">
        <v>94</v>
      </c>
      <c r="B65" t="s">
        <v>167</v>
      </c>
      <c r="C65" t="s">
        <v>168</v>
      </c>
      <c r="D65" t="s">
        <v>26</v>
      </c>
      <c r="F65">
        <v>241</v>
      </c>
      <c r="G65">
        <v>34</v>
      </c>
      <c r="H65">
        <v>14.11</v>
      </c>
      <c r="I65">
        <v>-44.9</v>
      </c>
      <c r="J65">
        <v>215</v>
      </c>
      <c r="K65">
        <v>15.81</v>
      </c>
      <c r="L65">
        <v>-18.63</v>
      </c>
      <c r="M65" s="1">
        <v>-19.66</v>
      </c>
      <c r="N65">
        <v>-8.16</v>
      </c>
      <c r="Q65" s="2">
        <v>-17.158000000000001</v>
      </c>
      <c r="R65" s="2">
        <v>1.0894999999999999</v>
      </c>
      <c r="S65" s="2">
        <v>-3.9275000000000002</v>
      </c>
      <c r="T65" s="2">
        <v>5.3579999999999997</v>
      </c>
      <c r="U65" s="2">
        <v>-20.169499999999999</v>
      </c>
      <c r="V65" s="2">
        <v>-1.92</v>
      </c>
      <c r="W65" s="2">
        <v>13.846</v>
      </c>
      <c r="X65" s="2">
        <v>3.2214999999999998</v>
      </c>
    </row>
    <row r="66" spans="1:24" x14ac:dyDescent="0.25">
      <c r="A66">
        <v>97</v>
      </c>
      <c r="B66" t="s">
        <v>169</v>
      </c>
      <c r="C66" t="s">
        <v>170</v>
      </c>
      <c r="D66" t="s">
        <v>26</v>
      </c>
      <c r="F66">
        <v>224</v>
      </c>
      <c r="G66">
        <v>12</v>
      </c>
      <c r="H66">
        <v>5.36</v>
      </c>
      <c r="I66">
        <v>14.5</v>
      </c>
      <c r="J66">
        <v>209</v>
      </c>
      <c r="K66">
        <v>5.74</v>
      </c>
      <c r="L66">
        <v>6.47</v>
      </c>
      <c r="M66" s="1">
        <v>249.01</v>
      </c>
      <c r="N66">
        <v>111.16</v>
      </c>
      <c r="T66" s="2">
        <v>-20.686</v>
      </c>
      <c r="U66" s="2">
        <v>-22.12</v>
      </c>
      <c r="V66" s="2">
        <v>331.74900000000002</v>
      </c>
      <c r="W66" s="2">
        <v>-30.465</v>
      </c>
      <c r="X66" s="2">
        <v>-9.4715000000000007</v>
      </c>
    </row>
    <row r="67" spans="1:24" x14ac:dyDescent="0.25">
      <c r="A67">
        <v>98</v>
      </c>
      <c r="B67" t="s">
        <v>171</v>
      </c>
      <c r="C67" t="s">
        <v>172</v>
      </c>
      <c r="D67" t="s">
        <v>26</v>
      </c>
      <c r="F67">
        <v>20</v>
      </c>
      <c r="G67">
        <v>0</v>
      </c>
      <c r="H67">
        <v>0</v>
      </c>
      <c r="I67">
        <v>-20</v>
      </c>
      <c r="J67">
        <v>7</v>
      </c>
      <c r="K67">
        <v>0</v>
      </c>
      <c r="L67">
        <v>-100</v>
      </c>
      <c r="M67" s="1">
        <v>-20</v>
      </c>
      <c r="N67">
        <v>-100</v>
      </c>
      <c r="U67" s="2">
        <v>-1</v>
      </c>
      <c r="V67" s="2">
        <v>-7</v>
      </c>
      <c r="W67" s="2">
        <v>-4</v>
      </c>
      <c r="X67" s="2">
        <v>-8</v>
      </c>
    </row>
    <row r="68" spans="1:24" x14ac:dyDescent="0.25">
      <c r="A68">
        <v>99</v>
      </c>
      <c r="B68" t="s">
        <v>173</v>
      </c>
      <c r="C68" t="s">
        <v>174</v>
      </c>
      <c r="D68" t="s">
        <v>26</v>
      </c>
      <c r="F68">
        <v>46</v>
      </c>
      <c r="G68">
        <v>8</v>
      </c>
      <c r="H68">
        <v>17.39</v>
      </c>
      <c r="I68">
        <v>82.21</v>
      </c>
      <c r="J68">
        <v>27</v>
      </c>
      <c r="K68">
        <v>29.63</v>
      </c>
      <c r="L68">
        <v>178.72</v>
      </c>
      <c r="M68" s="1">
        <v>206.47</v>
      </c>
      <c r="N68">
        <v>448.85</v>
      </c>
      <c r="V68" s="2">
        <v>32.270000000000003</v>
      </c>
      <c r="W68" s="2">
        <v>-4.0890000000000004</v>
      </c>
      <c r="X68" s="2">
        <v>178.292</v>
      </c>
    </row>
    <row r="69" spans="1:24" x14ac:dyDescent="0.25">
      <c r="A69">
        <v>100</v>
      </c>
      <c r="B69" t="s">
        <v>175</v>
      </c>
      <c r="C69" t="s">
        <v>176</v>
      </c>
      <c r="D69" t="s">
        <v>26</v>
      </c>
      <c r="F69">
        <v>403</v>
      </c>
      <c r="G69">
        <v>30</v>
      </c>
      <c r="H69">
        <v>7.44</v>
      </c>
      <c r="I69">
        <v>-45.57</v>
      </c>
      <c r="J69">
        <v>395</v>
      </c>
      <c r="K69">
        <v>7.59</v>
      </c>
      <c r="L69">
        <v>-11.31</v>
      </c>
      <c r="M69" s="1">
        <v>88.45</v>
      </c>
      <c r="N69">
        <v>21.95</v>
      </c>
      <c r="T69" s="2">
        <v>57.6875</v>
      </c>
      <c r="U69" s="2">
        <v>0.84299999999999997</v>
      </c>
      <c r="V69" s="2">
        <v>7.6524999999999999</v>
      </c>
      <c r="W69" s="2">
        <v>-63.939500000000002</v>
      </c>
      <c r="X69" s="2">
        <v>86.209500000000006</v>
      </c>
    </row>
    <row r="73" spans="1:24" x14ac:dyDescent="0.25">
      <c r="X73" s="2">
        <f>SUM(X2:X72)</f>
        <v>714.20699999999999</v>
      </c>
    </row>
  </sheetData>
  <sortState xmlns:xlrd2="http://schemas.microsoft.com/office/spreadsheetml/2017/richdata2" ref="A2:X73">
    <sortCondition ref="A2:A73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noggin5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 C</cp:lastModifiedBy>
  <dcterms:created xsi:type="dcterms:W3CDTF">2026-07-31T19:06:23Z</dcterms:created>
  <dcterms:modified xsi:type="dcterms:W3CDTF">2026-07-31T23:20:06Z</dcterms:modified>
</cp:coreProperties>
</file>