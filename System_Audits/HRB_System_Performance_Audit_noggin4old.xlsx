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acing\AI\GitHub\BFBM\System_Audits\"/>
    </mc:Choice>
  </mc:AlternateContent>
  <xr:revisionPtr revIDLastSave="0" documentId="8_{1906E46B-DDFE-4F02-BA1E-1F635870ECDE}" xr6:coauthVersionLast="47" xr6:coauthVersionMax="47" xr10:uidLastSave="{00000000-0000-0000-0000-000000000000}"/>
  <bookViews>
    <workbookView xWindow="7170" yWindow="8310" windowWidth="49140" windowHeight="23280" xr2:uid="{00000000-000D-0000-FFFF-FFFF00000000}"/>
  </bookViews>
  <sheets>
    <sheet name="noggin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7" i="1" l="1"/>
  <c r="Q97" i="1"/>
  <c r="R97" i="1"/>
  <c r="S97" i="1"/>
  <c r="T97" i="1"/>
  <c r="U97" i="1"/>
  <c r="V97" i="1"/>
</calcChain>
</file>

<file path=xl/sharedStrings.xml><?xml version="1.0" encoding="utf-8"?>
<sst xmlns="http://schemas.openxmlformats.org/spreadsheetml/2006/main" count="313" uniqueCount="234">
  <si>
    <t>Slot</t>
  </si>
  <si>
    <t>Name</t>
  </si>
  <si>
    <t>Saved</t>
  </si>
  <si>
    <t>Odds Band</t>
  </si>
  <si>
    <t>Odds Parsing Note</t>
  </si>
  <si>
    <t>Bets</t>
  </si>
  <si>
    <t>Wins</t>
  </si>
  <si>
    <t>Win%</t>
  </si>
  <si>
    <t>P/L(SP)</t>
  </si>
  <si>
    <t>Races</t>
  </si>
  <si>
    <t>Race%</t>
  </si>
  <si>
    <t>ROI(SP)</t>
  </si>
  <si>
    <t>P/L(BF)</t>
  </si>
  <si>
    <t>ROI(BF)</t>
  </si>
  <si>
    <t>P/L(BF) 2019</t>
  </si>
  <si>
    <t>P/L(BF) 2020</t>
  </si>
  <si>
    <t>P/L(BF) 2021</t>
  </si>
  <si>
    <t>P/L(BF) 2022</t>
  </si>
  <si>
    <t>P/L(BF) 2023</t>
  </si>
  <si>
    <t>P/L(BF) 2024</t>
  </si>
  <si>
    <t>P/L(BF) 2025</t>
  </si>
  <si>
    <t>P/L(BF) 2026</t>
  </si>
  <si>
    <t>SS NH IRE horses NO HDGR v LTO all BSPs</t>
  </si>
  <si>
    <t>2023-02-01</t>
  </si>
  <si>
    <t>none</t>
  </si>
  <si>
    <t>N4-97 0 RUNS HDGR NH COMP 6.01 - 300.00</t>
  </si>
  <si>
    <t>2021-03-10</t>
  </si>
  <si>
    <t>6.01 - 300</t>
  </si>
  <si>
    <t>skipped '4-97' (preceded by 'n', not odds)</t>
  </si>
  <si>
    <t>SS NH FRI SAT all BSPs</t>
  </si>
  <si>
    <t>2023-02-12</t>
  </si>
  <si>
    <t>SS AW 3 - 7 DSLR</t>
  </si>
  <si>
    <t>2023-02-19</t>
  </si>
  <si>
    <t>skipped '3 - 7' (followed by 'dslr', not odds)</t>
  </si>
  <si>
    <t>NH CHP LTO 3.01 - 300 v3</t>
  </si>
  <si>
    <t>2021-11-28</t>
  </si>
  <si>
    <t>3.01 - 300</t>
  </si>
  <si>
    <t>2YOs 1 Horse at Track 9.01 - 1000.00</t>
  </si>
  <si>
    <t>2021-08-13</t>
  </si>
  <si>
    <t>9.01 - 1000</t>
  </si>
  <si>
    <t>HDGRdiff Class 6 14.01-80.00</t>
  </si>
  <si>
    <t>2023-03-24</t>
  </si>
  <si>
    <t>14.01 - 80</t>
  </si>
  <si>
    <t>SS AW 6YO 7f - 1m2f</t>
  </si>
  <si>
    <t>2023-03-28</t>
  </si>
  <si>
    <t>HDGR visor 5YO 9.01 - 100.00</t>
  </si>
  <si>
    <t>2020-07-25</t>
  </si>
  <si>
    <t>9.01 - 100</t>
  </si>
  <si>
    <t>SS HDGR DIFF NH IRE 8yo All BSPs</t>
  </si>
  <si>
    <t>2022-01-14</t>
  </si>
  <si>
    <t>61plus DSLR 7.01 - 500.00 NOV</t>
  </si>
  <si>
    <t>2021-11-20</t>
  </si>
  <si>
    <t>7.01 - 500</t>
  </si>
  <si>
    <t>NH CHP LTO v3</t>
  </si>
  <si>
    <t>2021-07-23</t>
  </si>
  <si>
    <t>SS NH 8YO HDGRdiff 2.01 - 40.00</t>
  </si>
  <si>
    <t>2023-02-13</t>
  </si>
  <si>
    <t>2.01 - 40</t>
  </si>
  <si>
    <t>2YOs 1 Horse at Track 0 Runs ALL BSPs</t>
  </si>
  <si>
    <t>SS 4YO TURF JUNE GB All BSPs FTO season</t>
  </si>
  <si>
    <t>2023-06-01</t>
  </si>
  <si>
    <t>SS 4YO TURF JUNE GB All BSPs 1 run season</t>
  </si>
  <si>
    <t>SS AW Ling HDGRdiff 2.01 - 65.00</t>
  </si>
  <si>
    <t>2023-04-07</t>
  </si>
  <si>
    <t>2.01 - 65</t>
  </si>
  <si>
    <t>SS AW3yo4yo 4-7DSLR</t>
  </si>
  <si>
    <t>2022-01-25</t>
  </si>
  <si>
    <t>skipped '4-7' (followed by 'dslr', not odds)</t>
  </si>
  <si>
    <t>SS Bath HDGRdiff</t>
  </si>
  <si>
    <t>TRESEARCH - JockClaim v LTO</t>
  </si>
  <si>
    <t>2022-06-25</t>
  </si>
  <si>
    <t>SS 13 DOWN LAST 10</t>
  </si>
  <si>
    <t>2023-07-30</t>
  </si>
  <si>
    <t>SS NH 1 Horse DAY diff code 7.01 - 400.00</t>
  </si>
  <si>
    <t>2023-02-07</t>
  </si>
  <si>
    <t>7.01 - 400</t>
  </si>
  <si>
    <t>0 RUNS IRE FR 12.01 - 80.00</t>
  </si>
  <si>
    <t>2020-10-28</t>
  </si>
  <si>
    <t>12.01 - 80</t>
  </si>
  <si>
    <t>AW 2YO GB AW COMP pt1</t>
  </si>
  <si>
    <t>2019-12-06</t>
  </si>
  <si>
    <t>SS NH MRasen HDGRdiff 2.01 - 65.00</t>
  </si>
  <si>
    <t>2023-04-09</t>
  </si>
  <si>
    <t>SS NH Carlisle HDGRdiff</t>
  </si>
  <si>
    <t>2023-04-08</t>
  </si>
  <si>
    <t>SS NH Haydock HDGRdiff</t>
  </si>
  <si>
    <t>SS DSLR and 2ndLR v2 10.01 - 400.00</t>
  </si>
  <si>
    <t>2023-08-08</t>
  </si>
  <si>
    <t>10.01 - 400</t>
  </si>
  <si>
    <t>10 plus higher win OR EV - 29</t>
  </si>
  <si>
    <t>2019-08-09</t>
  </si>
  <si>
    <t>SS NH NewtAbbott HDGRdiff</t>
  </si>
  <si>
    <t>NH CHP LTO v3 10.01 - 300.00</t>
  </si>
  <si>
    <t>10.01 - 300</t>
  </si>
  <si>
    <t>10 down CHP 2.01 - 65.00</t>
  </si>
  <si>
    <t>3YO first run of season</t>
  </si>
  <si>
    <t>2020-08-15</t>
  </si>
  <si>
    <t>1 down VISOR 10.01 - 65.00</t>
  </si>
  <si>
    <t>10.01 - 65</t>
  </si>
  <si>
    <t>NH 0 RUNS 6.01 - 270.00</t>
  </si>
  <si>
    <t>2021-04-11</t>
  </si>
  <si>
    <t>6.01 - 270</t>
  </si>
  <si>
    <t>SS NH Fairyhouse HDGRdiff</t>
  </si>
  <si>
    <t>SS Blinkers Turf UK 8.01 - 1000.00</t>
  </si>
  <si>
    <t>2023-05-13</t>
  </si>
  <si>
    <t>8.01 - 1000</t>
  </si>
  <si>
    <t>DSLR and 2ndLR 12.0 to 35.0 BSP</t>
  </si>
  <si>
    <t>2020-03-08</t>
  </si>
  <si>
    <t>12 - 35</t>
  </si>
  <si>
    <t>IRE NH DSLR and 2ndLR 5.01 -1000.00</t>
  </si>
  <si>
    <t>2023-01-14</t>
  </si>
  <si>
    <t>5.01 - 1000</t>
  </si>
  <si>
    <t>SS week 30-38 80.01 - 1000.00</t>
  </si>
  <si>
    <t>2023-08-03</t>
  </si>
  <si>
    <t>80.01 - 1000</t>
  </si>
  <si>
    <t>skipped '30-38' (preceded by 'week', not odds)</t>
  </si>
  <si>
    <t>SS AW TURF LTO 0lb Claim LTO all BSPs</t>
  </si>
  <si>
    <t>2023-02-24</t>
  </si>
  <si>
    <t>SS FLAT Cork HDGRdiff</t>
  </si>
  <si>
    <t>2023-05-06</t>
  </si>
  <si>
    <t>SS FLAT Muss HDGRdiff</t>
  </si>
  <si>
    <t>DSLR x2 pref 16.01 - 1000.00</t>
  </si>
  <si>
    <t>2022-11-06</t>
  </si>
  <si>
    <t>16.01 - 1000</t>
  </si>
  <si>
    <t>SS 4YO TURF JUNE GB All BSPs 3 or 4 runs season</t>
  </si>
  <si>
    <t>2023-06-04</t>
  </si>
  <si>
    <t>SS HDGR diff 3.50 - 80.01</t>
  </si>
  <si>
    <t>2022-12-31</t>
  </si>
  <si>
    <t>3.5 - 80.01</t>
  </si>
  <si>
    <t>0 RUNS IRE FR v2 12.01 - 300.00</t>
  </si>
  <si>
    <t>2021-10-06</t>
  </si>
  <si>
    <t>12.01 - 300</t>
  </si>
  <si>
    <t>TR BOLGER</t>
  </si>
  <si>
    <t>BLINKERS 5.01 -1000.00</t>
  </si>
  <si>
    <t>2020-07-13</t>
  </si>
  <si>
    <t>APPLEBY M 2YO-4YOs</t>
  </si>
  <si>
    <t>2023-03-26</t>
  </si>
  <si>
    <t>DSLR and 2ndLR NHflatHurdle 9.01-1000.00</t>
  </si>
  <si>
    <t>2023-01-07</t>
  </si>
  <si>
    <t>AW CHP LTO 2 to 80</t>
  </si>
  <si>
    <t>2019-12-16</t>
  </si>
  <si>
    <t>2 - 80</t>
  </si>
  <si>
    <t>SS OBRIEN AIDEN IRELAND</t>
  </si>
  <si>
    <t>2023-03-29</t>
  </si>
  <si>
    <t>NH CHP LTO v3 2.01 - 1000.00</t>
  </si>
  <si>
    <t>2021-04-29</t>
  </si>
  <si>
    <t>2.01 - 1000</t>
  </si>
  <si>
    <t>SS OBRIEN AIDEN main tracks</t>
  </si>
  <si>
    <t>DSLR and 2ndLR v2 10.01 - 400.00</t>
  </si>
  <si>
    <t>NH CHP LTO</t>
  </si>
  <si>
    <t>SS WELD DK IRELAND 1plus win</t>
  </si>
  <si>
    <t>2023-03-30</t>
  </si>
  <si>
    <t>SS WELD DK IRELAND 0 wins</t>
  </si>
  <si>
    <t>RYAN K 6-11 Runs Code 2.01 - 80.00</t>
  </si>
  <si>
    <t>2023-07-08</t>
  </si>
  <si>
    <t>2.01 - 80</t>
  </si>
  <si>
    <t>skipped '6-11' (followed by 'runs', not odds)</t>
  </si>
  <si>
    <t>CHELT not 6-10 runs 2023</t>
  </si>
  <si>
    <t>2023-03-16</t>
  </si>
  <si>
    <t>skipped '6-10' (followed by 'runs', not odds)</t>
  </si>
  <si>
    <t>SS 3 Down CHP 7.01 - 200.00</t>
  </si>
  <si>
    <t>2023-09-02</t>
  </si>
  <si>
    <t>7.01 - 200</t>
  </si>
  <si>
    <t>SS VISOR 10.01 - 400.00</t>
  </si>
  <si>
    <t>2022-01-26</t>
  </si>
  <si>
    <t>NH 6YO AW or TURF LTO</t>
  </si>
  <si>
    <t>2021-02-04</t>
  </si>
  <si>
    <t>SS YORK 5.5f plus</t>
  </si>
  <si>
    <t>2024-08-25</t>
  </si>
  <si>
    <t>SS 4YO TURF JUNE GB All BSPs 2 runs season</t>
  </si>
  <si>
    <t>SS 4YO GB straits 2023</t>
  </si>
  <si>
    <t>2023-05-03</t>
  </si>
  <si>
    <t>CHELT 2023 IRISH IRE horses 14.01 - 500.00</t>
  </si>
  <si>
    <t>2024-03-12</t>
  </si>
  <si>
    <t>14.01 - 500</t>
  </si>
  <si>
    <t>CHELT 11-20 runs 2023</t>
  </si>
  <si>
    <t>2023-03-15</t>
  </si>
  <si>
    <t>skipped '11-20' (followed by 'runs', not odds)</t>
  </si>
  <si>
    <t>SS 4YO IRE Jul-Sep 4.51 - 150.00</t>
  </si>
  <si>
    <t>2023-06-02</t>
  </si>
  <si>
    <t>4.51 - 150</t>
  </si>
  <si>
    <t>CHELT 2023 C Place Hurdle</t>
  </si>
  <si>
    <t>2023-03-14</t>
  </si>
  <si>
    <t>CHELT 2023 HDGRdiff pt2</t>
  </si>
  <si>
    <t>2023-03-05</t>
  </si>
  <si>
    <t>CHELT 2023 C Win</t>
  </si>
  <si>
    <t>SS NH Plumpton HDGRdiff 2.01 - 150.00</t>
  </si>
  <si>
    <t>2.01 - 150</t>
  </si>
  <si>
    <t>SS SOUTHAW BOWRING SR 5F</t>
  </si>
  <si>
    <t>2025-12-29</t>
  </si>
  <si>
    <t>3YO first run of season v2 see N4-36</t>
  </si>
  <si>
    <t>2020-08-31</t>
  </si>
  <si>
    <t>skipped '4-36' (preceded by 'n', not odds)</t>
  </si>
  <si>
    <t>0 RUNS HDGR NH 100.01 - 400.00</t>
  </si>
  <si>
    <t>2022-03-14</t>
  </si>
  <si>
    <t>100.01 - 400</t>
  </si>
  <si>
    <t>4YO 5f 14.01 - 150.00</t>
  </si>
  <si>
    <t>2020-08-08</t>
  </si>
  <si>
    <t>14.01 - 150</t>
  </si>
  <si>
    <t>SS week 28-38 7.01 - 80.00</t>
  </si>
  <si>
    <t>7.01 - 80</t>
  </si>
  <si>
    <t>skipped '28-38' (preceded by 'week', not odds)</t>
  </si>
  <si>
    <t>SS D &amp; G winners</t>
  </si>
  <si>
    <t>2024-02-17</t>
  </si>
  <si>
    <t>FLAT 0 RUNS FMs 3.51 - 330.00</t>
  </si>
  <si>
    <t>2022-04-03</t>
  </si>
  <si>
    <t>3.51 - 330</t>
  </si>
  <si>
    <t>SS HDGRdiff Draw 13plus SOF 7.01 - 1000.00</t>
  </si>
  <si>
    <t>2023-05-01</t>
  </si>
  <si>
    <t>7.01 - 1000</t>
  </si>
  <si>
    <t>SS RYAN K SPRINTS all BSPs</t>
  </si>
  <si>
    <t>2023-04-03</t>
  </si>
  <si>
    <t>SS HDGRdiff 14.01 - 50.00</t>
  </si>
  <si>
    <t>2023-05-28</t>
  </si>
  <si>
    <t>14.01 - 50</t>
  </si>
  <si>
    <t>BF AW 6.01 - 300.00</t>
  </si>
  <si>
    <t>2021-01-30</t>
  </si>
  <si>
    <t>SS HDGRdiff STRTs 20.01 - 150.00</t>
  </si>
  <si>
    <t>2023-07-19</t>
  </si>
  <si>
    <t>20.01 - 150</t>
  </si>
  <si>
    <t>SS MURTAGH JP</t>
  </si>
  <si>
    <t>SS NH TOP - BOTTOM DSLR 6.00-500.00</t>
  </si>
  <si>
    <t>2025-09-08</t>
  </si>
  <si>
    <t>6 - 500</t>
  </si>
  <si>
    <t>C Placed NH v2 5.01 - 1000.00</t>
  </si>
  <si>
    <t>2020-07-26</t>
  </si>
  <si>
    <t>0 RUNS HDGR NH COMP</t>
  </si>
  <si>
    <t>2019-08-27</t>
  </si>
  <si>
    <t>CAPPED AT 10,000-ROW DOWNLOAD LIMIT - true post-saved-date bet count may be higher, review manually</t>
  </si>
  <si>
    <t>SS FLAT STR BigField 0-1 runs HDGR</t>
  </si>
  <si>
    <t>skipped '0-1' (followed by 'runs', not odds)</t>
  </si>
  <si>
    <t>SEP 1 - 60 DSLR 2YO 3YO</t>
  </si>
  <si>
    <t>2021-09-08</t>
  </si>
  <si>
    <t>skipped '1 - 60' (followed by 'dslr', not odds)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</si>
</sst>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topLeftCell="A37" workbookViewId="0">
      <selection activeCell="K47" sqref="K47"/>
    </sheetView>
  </sheetViews>
  <sheetFormatPr defaultRowHeight="15" x14ac:dyDescent="0.25"/>
  <cols>
    <col min="1" max="1" width="12" customWidth="1"/>
    <col min="2" max="2" width="34.85546875" customWidth="1"/>
    <col min="3" max="4" width="12" customWidth="1"/>
    <col min="5" max="5" width="30.28515625" customWidth="1"/>
    <col min="6" max="12" width="12" customWidth="1"/>
    <col min="13" max="13" width="12" style="1" customWidth="1"/>
    <col min="14" max="14" width="12" customWidth="1"/>
    <col min="15" max="22" width="14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61</v>
      </c>
      <c r="B2" t="s">
        <v>148</v>
      </c>
      <c r="C2" t="s">
        <v>130</v>
      </c>
      <c r="D2" t="s">
        <v>88</v>
      </c>
      <c r="F2">
        <v>1797</v>
      </c>
      <c r="G2">
        <v>85</v>
      </c>
      <c r="H2">
        <v>4.7300000000000004</v>
      </c>
      <c r="I2">
        <v>-301</v>
      </c>
      <c r="J2">
        <v>1628</v>
      </c>
      <c r="K2">
        <v>5.22</v>
      </c>
      <c r="L2">
        <v>-16.75</v>
      </c>
      <c r="M2" s="1">
        <v>529.30999999999995</v>
      </c>
      <c r="N2">
        <v>29.46</v>
      </c>
      <c r="Q2">
        <v>-63.3</v>
      </c>
      <c r="R2">
        <v>223.79</v>
      </c>
      <c r="S2">
        <v>290.16000000000003</v>
      </c>
      <c r="T2">
        <v>-124.17</v>
      </c>
      <c r="U2">
        <v>189.88</v>
      </c>
      <c r="V2">
        <v>12.95</v>
      </c>
    </row>
    <row r="3" spans="1:22" x14ac:dyDescent="0.25">
      <c r="A3">
        <v>6</v>
      </c>
      <c r="B3" t="s">
        <v>34</v>
      </c>
      <c r="C3" t="s">
        <v>35</v>
      </c>
      <c r="D3" t="s">
        <v>36</v>
      </c>
      <c r="F3">
        <v>2348</v>
      </c>
      <c r="G3">
        <v>195</v>
      </c>
      <c r="H3">
        <v>8.3000000000000007</v>
      </c>
      <c r="I3">
        <v>-281.11</v>
      </c>
      <c r="J3">
        <v>2124</v>
      </c>
      <c r="K3">
        <v>9.18</v>
      </c>
      <c r="L3">
        <v>-11.97</v>
      </c>
      <c r="M3" s="1">
        <v>457.69</v>
      </c>
      <c r="N3">
        <v>19.489999999999998</v>
      </c>
      <c r="Q3">
        <v>-30.8</v>
      </c>
      <c r="R3">
        <v>141.72</v>
      </c>
      <c r="S3">
        <v>37.26</v>
      </c>
      <c r="T3">
        <v>116.55</v>
      </c>
      <c r="U3">
        <v>-116.99</v>
      </c>
      <c r="V3">
        <v>309.95</v>
      </c>
    </row>
    <row r="4" spans="1:22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>
        <v>4384</v>
      </c>
      <c r="G4">
        <v>319</v>
      </c>
      <c r="H4">
        <v>7.28</v>
      </c>
      <c r="I4">
        <v>-661.17</v>
      </c>
      <c r="J4">
        <v>2386</v>
      </c>
      <c r="K4">
        <v>13.37</v>
      </c>
      <c r="L4">
        <v>-15.08</v>
      </c>
      <c r="M4" s="1">
        <v>440.79</v>
      </c>
      <c r="N4">
        <v>10.050000000000001</v>
      </c>
      <c r="Q4">
        <v>335.74</v>
      </c>
      <c r="R4">
        <v>37.43</v>
      </c>
      <c r="S4">
        <v>-148.69999999999999</v>
      </c>
      <c r="T4">
        <v>169.27</v>
      </c>
      <c r="U4">
        <v>96.2</v>
      </c>
      <c r="V4">
        <v>-49.15</v>
      </c>
    </row>
    <row r="5" spans="1:22" x14ac:dyDescent="0.25">
      <c r="A5">
        <v>51</v>
      </c>
      <c r="B5" t="s">
        <v>129</v>
      </c>
      <c r="C5" t="s">
        <v>130</v>
      </c>
      <c r="D5" t="s">
        <v>131</v>
      </c>
      <c r="F5">
        <v>5386</v>
      </c>
      <c r="G5">
        <v>264</v>
      </c>
      <c r="H5">
        <v>4.9000000000000004</v>
      </c>
      <c r="I5">
        <v>-1106.5</v>
      </c>
      <c r="J5">
        <v>3722</v>
      </c>
      <c r="K5">
        <v>7.09</v>
      </c>
      <c r="L5">
        <v>-20.54</v>
      </c>
      <c r="M5" s="1">
        <v>432.09</v>
      </c>
      <c r="N5">
        <v>8.02</v>
      </c>
      <c r="Q5">
        <v>66.489999999999995</v>
      </c>
      <c r="R5">
        <v>-13.72</v>
      </c>
      <c r="S5">
        <v>-50.73</v>
      </c>
      <c r="T5">
        <v>250.22</v>
      </c>
      <c r="U5">
        <v>183.7</v>
      </c>
      <c r="V5">
        <v>-3.86</v>
      </c>
    </row>
    <row r="6" spans="1:22" x14ac:dyDescent="0.25">
      <c r="A6">
        <v>34</v>
      </c>
      <c r="B6" t="s">
        <v>92</v>
      </c>
      <c r="C6" t="s">
        <v>26</v>
      </c>
      <c r="D6" t="s">
        <v>93</v>
      </c>
      <c r="F6">
        <v>2973</v>
      </c>
      <c r="G6">
        <v>139</v>
      </c>
      <c r="H6">
        <v>4.68</v>
      </c>
      <c r="I6">
        <v>-493.5</v>
      </c>
      <c r="J6">
        <v>2685</v>
      </c>
      <c r="K6">
        <v>5.18</v>
      </c>
      <c r="L6">
        <v>-16.600000000000001</v>
      </c>
      <c r="M6" s="1">
        <v>425.63</v>
      </c>
      <c r="N6">
        <v>14.32</v>
      </c>
      <c r="Q6">
        <v>-102.65</v>
      </c>
      <c r="R6">
        <v>74.87</v>
      </c>
      <c r="S6">
        <v>25.53</v>
      </c>
      <c r="T6">
        <v>231.33</v>
      </c>
      <c r="U6">
        <v>-147.1</v>
      </c>
      <c r="V6">
        <v>343.65</v>
      </c>
    </row>
    <row r="7" spans="1:22" x14ac:dyDescent="0.25">
      <c r="A7">
        <v>7</v>
      </c>
      <c r="B7" t="s">
        <v>37</v>
      </c>
      <c r="C7" t="s">
        <v>38</v>
      </c>
      <c r="D7" t="s">
        <v>39</v>
      </c>
      <c r="F7">
        <v>374</v>
      </c>
      <c r="G7">
        <v>13</v>
      </c>
      <c r="H7">
        <v>3.48</v>
      </c>
      <c r="I7">
        <v>0.5</v>
      </c>
      <c r="J7">
        <v>324</v>
      </c>
      <c r="K7">
        <v>4.01</v>
      </c>
      <c r="L7">
        <v>0.13</v>
      </c>
      <c r="M7" s="1">
        <v>357.87</v>
      </c>
      <c r="N7">
        <v>95.69</v>
      </c>
      <c r="Q7">
        <v>-9.18</v>
      </c>
      <c r="R7">
        <v>326.42</v>
      </c>
      <c r="S7">
        <v>127.09</v>
      </c>
      <c r="T7">
        <v>-77</v>
      </c>
      <c r="U7">
        <v>7.52</v>
      </c>
      <c r="V7">
        <v>-16.98</v>
      </c>
    </row>
    <row r="8" spans="1:22" x14ac:dyDescent="0.25">
      <c r="A8">
        <v>62</v>
      </c>
      <c r="B8" t="s">
        <v>149</v>
      </c>
      <c r="C8" t="s">
        <v>140</v>
      </c>
      <c r="D8" t="s">
        <v>24</v>
      </c>
      <c r="F8">
        <v>9359</v>
      </c>
      <c r="G8">
        <v>829</v>
      </c>
      <c r="H8">
        <v>8.86</v>
      </c>
      <c r="I8">
        <v>-1867.72</v>
      </c>
      <c r="J8">
        <v>7702</v>
      </c>
      <c r="K8">
        <v>10.76</v>
      </c>
      <c r="L8">
        <v>-19.96</v>
      </c>
      <c r="M8" s="1">
        <v>351.36</v>
      </c>
      <c r="N8">
        <v>3.75</v>
      </c>
      <c r="O8">
        <v>91.96</v>
      </c>
      <c r="P8">
        <v>265.61</v>
      </c>
      <c r="Q8">
        <v>-99.1</v>
      </c>
      <c r="R8">
        <v>-16.11</v>
      </c>
      <c r="S8">
        <v>-37.909999999999997</v>
      </c>
      <c r="T8">
        <v>129.51</v>
      </c>
      <c r="U8">
        <v>-182.64</v>
      </c>
      <c r="V8">
        <v>200.03</v>
      </c>
    </row>
    <row r="9" spans="1:22" x14ac:dyDescent="0.25">
      <c r="A9">
        <v>32</v>
      </c>
      <c r="B9" t="s">
        <v>89</v>
      </c>
      <c r="C9" t="s">
        <v>90</v>
      </c>
      <c r="D9" t="s">
        <v>24</v>
      </c>
      <c r="F9">
        <v>5061</v>
      </c>
      <c r="G9">
        <v>535</v>
      </c>
      <c r="H9">
        <v>10.57</v>
      </c>
      <c r="I9">
        <v>-539.1</v>
      </c>
      <c r="J9">
        <v>4411</v>
      </c>
      <c r="K9">
        <v>12.13</v>
      </c>
      <c r="L9">
        <v>-10.65</v>
      </c>
      <c r="M9" s="1">
        <v>311.89999999999998</v>
      </c>
      <c r="N9">
        <v>6.16</v>
      </c>
      <c r="O9">
        <v>239.39</v>
      </c>
      <c r="P9">
        <v>-95.3</v>
      </c>
      <c r="Q9">
        <v>12</v>
      </c>
      <c r="R9">
        <v>116.16</v>
      </c>
      <c r="S9">
        <v>-31.36</v>
      </c>
      <c r="T9">
        <v>100.63</v>
      </c>
      <c r="U9">
        <v>66.94</v>
      </c>
      <c r="V9">
        <v>-96.56</v>
      </c>
    </row>
    <row r="10" spans="1:22" x14ac:dyDescent="0.25">
      <c r="A10">
        <v>90</v>
      </c>
      <c r="B10" t="s">
        <v>212</v>
      </c>
      <c r="C10" t="s">
        <v>213</v>
      </c>
      <c r="D10" t="s">
        <v>214</v>
      </c>
      <c r="F10">
        <v>1118</v>
      </c>
      <c r="G10">
        <v>59</v>
      </c>
      <c r="H10">
        <v>5.28</v>
      </c>
      <c r="I10">
        <v>-6.5</v>
      </c>
      <c r="J10">
        <v>1031</v>
      </c>
      <c r="K10">
        <v>5.72</v>
      </c>
      <c r="L10">
        <v>-0.57999999999999996</v>
      </c>
      <c r="M10" s="1">
        <v>302.25</v>
      </c>
      <c r="N10">
        <v>27.04</v>
      </c>
      <c r="S10">
        <v>51.03</v>
      </c>
      <c r="T10">
        <v>108.31</v>
      </c>
      <c r="U10">
        <v>18.010000000000002</v>
      </c>
      <c r="V10">
        <v>124.9</v>
      </c>
    </row>
    <row r="11" spans="1:22" x14ac:dyDescent="0.25">
      <c r="A11">
        <v>53</v>
      </c>
      <c r="B11" t="s">
        <v>133</v>
      </c>
      <c r="C11" t="s">
        <v>134</v>
      </c>
      <c r="D11" t="s">
        <v>111</v>
      </c>
      <c r="F11">
        <v>4728</v>
      </c>
      <c r="G11">
        <v>285</v>
      </c>
      <c r="H11">
        <v>6.03</v>
      </c>
      <c r="I11">
        <v>-904.51</v>
      </c>
      <c r="J11">
        <v>4160</v>
      </c>
      <c r="K11">
        <v>6.85</v>
      </c>
      <c r="L11">
        <v>-19.13</v>
      </c>
      <c r="M11" s="1">
        <v>292.77999999999997</v>
      </c>
      <c r="N11">
        <v>6.19</v>
      </c>
      <c r="P11">
        <v>-72.98</v>
      </c>
      <c r="Q11">
        <v>17.440000000000001</v>
      </c>
      <c r="R11">
        <v>128.63</v>
      </c>
      <c r="S11">
        <v>75.239999999999995</v>
      </c>
      <c r="T11">
        <v>-144.29</v>
      </c>
      <c r="U11">
        <v>243.62</v>
      </c>
      <c r="V11">
        <v>45.12</v>
      </c>
    </row>
    <row r="12" spans="1:22" x14ac:dyDescent="0.25">
      <c r="A12">
        <v>87</v>
      </c>
      <c r="B12" t="s">
        <v>204</v>
      </c>
      <c r="C12" t="s">
        <v>205</v>
      </c>
      <c r="D12" t="s">
        <v>206</v>
      </c>
      <c r="F12">
        <v>1695</v>
      </c>
      <c r="G12">
        <v>149</v>
      </c>
      <c r="H12">
        <v>8.7899999999999991</v>
      </c>
      <c r="I12">
        <v>-237.94</v>
      </c>
      <c r="J12">
        <v>784</v>
      </c>
      <c r="K12">
        <v>19.010000000000002</v>
      </c>
      <c r="L12">
        <v>-14.04</v>
      </c>
      <c r="M12" s="1">
        <v>269.10000000000002</v>
      </c>
      <c r="N12">
        <v>15.88</v>
      </c>
      <c r="R12">
        <v>-8.6</v>
      </c>
      <c r="S12">
        <v>14.85</v>
      </c>
      <c r="T12">
        <v>289.70999999999998</v>
      </c>
      <c r="U12">
        <v>-26.77</v>
      </c>
      <c r="V12">
        <v>-0.09</v>
      </c>
    </row>
    <row r="13" spans="1:22" x14ac:dyDescent="0.25">
      <c r="A13">
        <v>35</v>
      </c>
      <c r="B13" t="s">
        <v>94</v>
      </c>
      <c r="C13" t="s">
        <v>46</v>
      </c>
      <c r="D13" t="s">
        <v>64</v>
      </c>
      <c r="F13">
        <v>2630</v>
      </c>
      <c r="G13">
        <v>233</v>
      </c>
      <c r="H13">
        <v>8.86</v>
      </c>
      <c r="I13">
        <v>-224.32</v>
      </c>
      <c r="J13">
        <v>2364</v>
      </c>
      <c r="K13">
        <v>9.86</v>
      </c>
      <c r="L13">
        <v>-8.5299999999999994</v>
      </c>
      <c r="M13" s="1">
        <v>261</v>
      </c>
      <c r="N13">
        <v>9.92</v>
      </c>
      <c r="P13">
        <v>67.680000000000007</v>
      </c>
      <c r="Q13">
        <v>26.86</v>
      </c>
      <c r="R13">
        <v>-22.53</v>
      </c>
      <c r="S13">
        <v>58.02</v>
      </c>
      <c r="T13">
        <v>136.29</v>
      </c>
      <c r="U13">
        <v>-75.05</v>
      </c>
      <c r="V13">
        <v>69.739999999999995</v>
      </c>
    </row>
    <row r="14" spans="1:22" x14ac:dyDescent="0.25">
      <c r="A14">
        <v>40</v>
      </c>
      <c r="B14" t="s">
        <v>103</v>
      </c>
      <c r="C14" t="s">
        <v>104</v>
      </c>
      <c r="D14" t="s">
        <v>105</v>
      </c>
      <c r="F14">
        <v>695</v>
      </c>
      <c r="G14">
        <v>41</v>
      </c>
      <c r="H14">
        <v>5.9</v>
      </c>
      <c r="I14">
        <v>-32</v>
      </c>
      <c r="J14">
        <v>647</v>
      </c>
      <c r="K14">
        <v>6.34</v>
      </c>
      <c r="L14">
        <v>-4.5999999999999996</v>
      </c>
      <c r="M14" s="1">
        <v>210.65</v>
      </c>
      <c r="N14">
        <v>30.31</v>
      </c>
      <c r="S14">
        <v>1.79</v>
      </c>
      <c r="T14">
        <v>-10.47</v>
      </c>
      <c r="U14">
        <v>167.14</v>
      </c>
      <c r="V14">
        <v>52.2</v>
      </c>
    </row>
    <row r="15" spans="1:22" x14ac:dyDescent="0.25">
      <c r="A15">
        <v>59</v>
      </c>
      <c r="B15" t="s">
        <v>144</v>
      </c>
      <c r="C15" t="s">
        <v>145</v>
      </c>
      <c r="D15" t="s">
        <v>146</v>
      </c>
      <c r="F15">
        <v>4116</v>
      </c>
      <c r="G15">
        <v>357</v>
      </c>
      <c r="H15">
        <v>8.67</v>
      </c>
      <c r="I15">
        <v>-760.38</v>
      </c>
      <c r="J15">
        <v>3589</v>
      </c>
      <c r="K15">
        <v>9.9499999999999993</v>
      </c>
      <c r="L15">
        <v>-18.47</v>
      </c>
      <c r="M15" s="1">
        <v>203.35</v>
      </c>
      <c r="N15">
        <v>4.9400000000000004</v>
      </c>
      <c r="Q15">
        <v>-138.71</v>
      </c>
      <c r="R15">
        <v>95.52</v>
      </c>
      <c r="S15">
        <v>81.599999999999994</v>
      </c>
      <c r="T15">
        <v>144.91999999999999</v>
      </c>
      <c r="U15">
        <v>-158.05000000000001</v>
      </c>
      <c r="V15">
        <v>178.08</v>
      </c>
    </row>
    <row r="16" spans="1:22" x14ac:dyDescent="0.25">
      <c r="A16">
        <v>23</v>
      </c>
      <c r="B16" t="s">
        <v>69</v>
      </c>
      <c r="C16" t="s">
        <v>70</v>
      </c>
      <c r="D16" t="s">
        <v>24</v>
      </c>
      <c r="F16">
        <v>281</v>
      </c>
      <c r="G16">
        <v>45</v>
      </c>
      <c r="H16">
        <v>16.010000000000002</v>
      </c>
      <c r="I16">
        <v>100.45</v>
      </c>
      <c r="J16">
        <v>246</v>
      </c>
      <c r="K16">
        <v>18.29</v>
      </c>
      <c r="L16">
        <v>35.75</v>
      </c>
      <c r="M16" s="1">
        <v>200.54</v>
      </c>
      <c r="N16">
        <v>71.37</v>
      </c>
      <c r="R16">
        <v>39.979999999999997</v>
      </c>
      <c r="S16">
        <v>9.01</v>
      </c>
      <c r="T16">
        <v>147.86000000000001</v>
      </c>
      <c r="U16">
        <v>15.69</v>
      </c>
      <c r="V16">
        <v>-12</v>
      </c>
    </row>
    <row r="17" spans="1:22" x14ac:dyDescent="0.25">
      <c r="A17">
        <v>8</v>
      </c>
      <c r="B17" t="s">
        <v>40</v>
      </c>
      <c r="C17" t="s">
        <v>41</v>
      </c>
      <c r="D17" t="s">
        <v>42</v>
      </c>
      <c r="F17">
        <v>3693</v>
      </c>
      <c r="G17">
        <v>152</v>
      </c>
      <c r="H17">
        <v>4.12</v>
      </c>
      <c r="I17">
        <v>-683.5</v>
      </c>
      <c r="J17">
        <v>2757</v>
      </c>
      <c r="K17">
        <v>5.51</v>
      </c>
      <c r="L17">
        <v>-18.510000000000002</v>
      </c>
      <c r="M17" s="1">
        <v>197.61</v>
      </c>
      <c r="N17">
        <v>5.35</v>
      </c>
      <c r="S17">
        <v>-95.7</v>
      </c>
      <c r="T17">
        <v>101.07</v>
      </c>
      <c r="U17">
        <v>-44.64</v>
      </c>
      <c r="V17">
        <v>236.88</v>
      </c>
    </row>
    <row r="18" spans="1:22" x14ac:dyDescent="0.25">
      <c r="A18">
        <v>27</v>
      </c>
      <c r="B18" t="s">
        <v>79</v>
      </c>
      <c r="C18" t="s">
        <v>80</v>
      </c>
      <c r="D18" t="s">
        <v>24</v>
      </c>
      <c r="F18">
        <v>1373</v>
      </c>
      <c r="G18">
        <v>201</v>
      </c>
      <c r="H18">
        <v>14.64</v>
      </c>
      <c r="I18">
        <v>-57.44</v>
      </c>
      <c r="J18">
        <v>948</v>
      </c>
      <c r="K18">
        <v>21.2</v>
      </c>
      <c r="L18">
        <v>-4.18</v>
      </c>
      <c r="M18" s="1">
        <v>175.02</v>
      </c>
      <c r="N18">
        <v>12.75</v>
      </c>
      <c r="O18">
        <v>-29.56</v>
      </c>
      <c r="P18">
        <v>110.15</v>
      </c>
      <c r="Q18">
        <v>13.82</v>
      </c>
      <c r="R18">
        <v>-37.72</v>
      </c>
      <c r="S18">
        <v>6.4</v>
      </c>
      <c r="T18">
        <v>10.68</v>
      </c>
      <c r="U18">
        <v>101.26</v>
      </c>
    </row>
    <row r="19" spans="1:22" x14ac:dyDescent="0.25">
      <c r="A19">
        <v>72</v>
      </c>
      <c r="B19" t="s">
        <v>170</v>
      </c>
      <c r="C19" t="s">
        <v>171</v>
      </c>
      <c r="D19" t="s">
        <v>24</v>
      </c>
      <c r="F19">
        <v>1233</v>
      </c>
      <c r="G19">
        <v>134</v>
      </c>
      <c r="H19">
        <v>10.87</v>
      </c>
      <c r="I19">
        <v>-209.61</v>
      </c>
      <c r="J19">
        <v>886</v>
      </c>
      <c r="K19">
        <v>15.12</v>
      </c>
      <c r="L19">
        <v>-17</v>
      </c>
      <c r="M19" s="1">
        <v>170.66</v>
      </c>
      <c r="N19">
        <v>13.84</v>
      </c>
      <c r="S19">
        <v>-56.28</v>
      </c>
      <c r="T19">
        <v>375.25</v>
      </c>
      <c r="U19">
        <v>-35.44</v>
      </c>
      <c r="V19">
        <v>-112.88</v>
      </c>
    </row>
    <row r="20" spans="1:22" x14ac:dyDescent="0.25">
      <c r="A20">
        <v>88</v>
      </c>
      <c r="B20" t="s">
        <v>207</v>
      </c>
      <c r="C20" t="s">
        <v>208</v>
      </c>
      <c r="D20" t="s">
        <v>209</v>
      </c>
      <c r="F20">
        <v>1225</v>
      </c>
      <c r="G20">
        <v>74</v>
      </c>
      <c r="H20">
        <v>6.04</v>
      </c>
      <c r="I20">
        <v>-185</v>
      </c>
      <c r="J20">
        <v>961</v>
      </c>
      <c r="K20">
        <v>7.7</v>
      </c>
      <c r="L20">
        <v>-15.1</v>
      </c>
      <c r="M20" s="1">
        <v>155.58000000000001</v>
      </c>
      <c r="N20">
        <v>12.7</v>
      </c>
      <c r="S20">
        <v>-19.79</v>
      </c>
      <c r="T20">
        <v>94</v>
      </c>
      <c r="U20">
        <v>55.2</v>
      </c>
      <c r="V20">
        <v>26.17</v>
      </c>
    </row>
    <row r="21" spans="1:22" x14ac:dyDescent="0.25">
      <c r="A21">
        <v>81</v>
      </c>
      <c r="B21" t="s">
        <v>190</v>
      </c>
      <c r="C21" t="s">
        <v>191</v>
      </c>
      <c r="D21" t="s">
        <v>24</v>
      </c>
      <c r="E21" t="s">
        <v>192</v>
      </c>
      <c r="F21">
        <v>582</v>
      </c>
      <c r="G21">
        <v>103</v>
      </c>
      <c r="H21">
        <v>17.7</v>
      </c>
      <c r="I21">
        <v>-72.34</v>
      </c>
      <c r="J21">
        <v>542</v>
      </c>
      <c r="K21">
        <v>19</v>
      </c>
      <c r="L21">
        <v>-12.43</v>
      </c>
      <c r="M21" s="1">
        <v>126.14</v>
      </c>
      <c r="N21">
        <v>21.67</v>
      </c>
      <c r="P21">
        <v>6.66</v>
      </c>
      <c r="Q21">
        <v>-4.67</v>
      </c>
      <c r="R21">
        <v>197.92</v>
      </c>
      <c r="S21">
        <v>-51.31</v>
      </c>
      <c r="T21">
        <v>9.8000000000000007</v>
      </c>
      <c r="U21">
        <v>-15.6</v>
      </c>
      <c r="V21">
        <v>-16.66</v>
      </c>
    </row>
    <row r="22" spans="1:22" x14ac:dyDescent="0.25">
      <c r="A22">
        <v>65</v>
      </c>
      <c r="B22" t="s">
        <v>153</v>
      </c>
      <c r="C22" t="s">
        <v>154</v>
      </c>
      <c r="D22" t="s">
        <v>155</v>
      </c>
      <c r="E22" t="s">
        <v>156</v>
      </c>
      <c r="F22">
        <v>128</v>
      </c>
      <c r="G22">
        <v>19</v>
      </c>
      <c r="H22">
        <v>14.84</v>
      </c>
      <c r="I22">
        <v>79.67</v>
      </c>
      <c r="J22">
        <v>125</v>
      </c>
      <c r="K22">
        <v>15.2</v>
      </c>
      <c r="L22">
        <v>62.24</v>
      </c>
      <c r="M22" s="1">
        <v>124.06</v>
      </c>
      <c r="N22">
        <v>96.92</v>
      </c>
      <c r="S22">
        <v>45.7</v>
      </c>
      <c r="T22">
        <v>63.82</v>
      </c>
      <c r="U22">
        <v>-15.37</v>
      </c>
      <c r="V22">
        <v>29.91</v>
      </c>
    </row>
    <row r="23" spans="1:22" x14ac:dyDescent="0.25">
      <c r="A23">
        <v>26</v>
      </c>
      <c r="B23" t="s">
        <v>76</v>
      </c>
      <c r="C23" t="s">
        <v>77</v>
      </c>
      <c r="D23" t="s">
        <v>78</v>
      </c>
      <c r="F23">
        <v>6076</v>
      </c>
      <c r="G23">
        <v>285</v>
      </c>
      <c r="H23">
        <v>4.6900000000000004</v>
      </c>
      <c r="I23">
        <v>-1494.5</v>
      </c>
      <c r="J23">
        <v>4048</v>
      </c>
      <c r="K23">
        <v>7.04</v>
      </c>
      <c r="L23">
        <v>-24.6</v>
      </c>
      <c r="M23" s="1">
        <v>120.47</v>
      </c>
      <c r="N23">
        <v>1.98</v>
      </c>
      <c r="Q23">
        <v>121.86</v>
      </c>
      <c r="R23">
        <v>63.14</v>
      </c>
      <c r="S23">
        <v>-203.89</v>
      </c>
      <c r="T23">
        <v>124.83</v>
      </c>
      <c r="U23">
        <v>101.06</v>
      </c>
      <c r="V23">
        <v>-86.54</v>
      </c>
    </row>
    <row r="24" spans="1:22" x14ac:dyDescent="0.25">
      <c r="A24">
        <v>77</v>
      </c>
      <c r="B24" t="s">
        <v>183</v>
      </c>
      <c r="C24" t="s">
        <v>184</v>
      </c>
      <c r="D24" t="s">
        <v>24</v>
      </c>
      <c r="F24">
        <v>50</v>
      </c>
      <c r="G24">
        <v>3</v>
      </c>
      <c r="H24">
        <v>6</v>
      </c>
      <c r="I24">
        <v>62</v>
      </c>
      <c r="J24">
        <v>25</v>
      </c>
      <c r="K24">
        <v>12</v>
      </c>
      <c r="L24">
        <v>124</v>
      </c>
      <c r="M24" s="1">
        <v>110.57</v>
      </c>
      <c r="N24">
        <v>221.13</v>
      </c>
      <c r="S24">
        <v>88.68</v>
      </c>
      <c r="T24">
        <v>-6</v>
      </c>
      <c r="U24">
        <v>16.27</v>
      </c>
      <c r="V24">
        <v>11.62</v>
      </c>
    </row>
    <row r="25" spans="1:22" x14ac:dyDescent="0.25">
      <c r="A25">
        <v>57</v>
      </c>
      <c r="B25" t="s">
        <v>139</v>
      </c>
      <c r="C25" t="s">
        <v>140</v>
      </c>
      <c r="D25" t="s">
        <v>141</v>
      </c>
      <c r="F25">
        <v>2189</v>
      </c>
      <c r="G25">
        <v>240</v>
      </c>
      <c r="H25">
        <v>10.96</v>
      </c>
      <c r="I25">
        <v>-225.63</v>
      </c>
      <c r="J25">
        <v>2040</v>
      </c>
      <c r="K25">
        <v>11.76</v>
      </c>
      <c r="L25">
        <v>-10.31</v>
      </c>
      <c r="M25" s="1">
        <v>108.71</v>
      </c>
      <c r="N25">
        <v>4.97</v>
      </c>
      <c r="O25">
        <v>3.02</v>
      </c>
      <c r="P25">
        <v>24.46</v>
      </c>
      <c r="Q25">
        <v>73</v>
      </c>
      <c r="R25">
        <v>-41.29</v>
      </c>
      <c r="S25">
        <v>-9.48</v>
      </c>
      <c r="T25">
        <v>-119.5</v>
      </c>
      <c r="U25">
        <v>30.74</v>
      </c>
      <c r="V25">
        <v>147.76</v>
      </c>
    </row>
    <row r="26" spans="1:22" x14ac:dyDescent="0.25">
      <c r="A26">
        <v>13</v>
      </c>
      <c r="B26" t="s">
        <v>53</v>
      </c>
      <c r="C26" t="s">
        <v>54</v>
      </c>
      <c r="D26" t="s">
        <v>24</v>
      </c>
      <c r="F26">
        <v>5094</v>
      </c>
      <c r="G26">
        <v>469</v>
      </c>
      <c r="H26">
        <v>9.2100000000000009</v>
      </c>
      <c r="I26">
        <v>-1036.07</v>
      </c>
      <c r="J26">
        <v>4320</v>
      </c>
      <c r="K26">
        <v>10.86</v>
      </c>
      <c r="L26">
        <v>-20.34</v>
      </c>
      <c r="M26" s="1">
        <v>99.98</v>
      </c>
      <c r="N26">
        <v>1.96</v>
      </c>
      <c r="Q26">
        <v>-163.08000000000001</v>
      </c>
      <c r="R26">
        <v>14.81</v>
      </c>
      <c r="S26">
        <v>-33.200000000000003</v>
      </c>
      <c r="T26">
        <v>270.36</v>
      </c>
      <c r="U26">
        <v>-196.03</v>
      </c>
      <c r="V26">
        <v>207.12</v>
      </c>
    </row>
    <row r="27" spans="1:22" x14ac:dyDescent="0.25">
      <c r="A27">
        <v>38</v>
      </c>
      <c r="B27" t="s">
        <v>99</v>
      </c>
      <c r="C27" t="s">
        <v>100</v>
      </c>
      <c r="D27" t="s">
        <v>101</v>
      </c>
      <c r="F27">
        <v>4801</v>
      </c>
      <c r="G27">
        <v>334</v>
      </c>
      <c r="H27">
        <v>6.96</v>
      </c>
      <c r="I27">
        <v>-997.17</v>
      </c>
      <c r="J27">
        <v>2522</v>
      </c>
      <c r="K27">
        <v>13.24</v>
      </c>
      <c r="L27">
        <v>-20.77</v>
      </c>
      <c r="M27" s="1">
        <v>98.99</v>
      </c>
      <c r="N27">
        <v>2.06</v>
      </c>
      <c r="Q27">
        <v>228.55</v>
      </c>
      <c r="R27">
        <v>42.8</v>
      </c>
      <c r="S27">
        <v>-213.71</v>
      </c>
      <c r="T27">
        <v>88.47</v>
      </c>
      <c r="U27">
        <v>34.630000000000003</v>
      </c>
      <c r="V27">
        <v>-81.739999999999995</v>
      </c>
    </row>
    <row r="28" spans="1:22" x14ac:dyDescent="0.25">
      <c r="A28">
        <v>50</v>
      </c>
      <c r="B28" t="s">
        <v>126</v>
      </c>
      <c r="C28" t="s">
        <v>127</v>
      </c>
      <c r="D28" t="s">
        <v>128</v>
      </c>
      <c r="F28">
        <v>1247</v>
      </c>
      <c r="G28">
        <v>107</v>
      </c>
      <c r="H28">
        <v>8.58</v>
      </c>
      <c r="I28">
        <v>-109.61</v>
      </c>
      <c r="J28">
        <v>1196</v>
      </c>
      <c r="K28">
        <v>8.9499999999999993</v>
      </c>
      <c r="L28">
        <v>-8.7899999999999991</v>
      </c>
      <c r="M28" s="1">
        <v>98.99</v>
      </c>
      <c r="N28">
        <v>7.94</v>
      </c>
      <c r="S28">
        <v>-42.71</v>
      </c>
      <c r="T28">
        <v>-38.11</v>
      </c>
      <c r="U28">
        <v>82.71</v>
      </c>
      <c r="V28">
        <v>97.1</v>
      </c>
    </row>
    <row r="29" spans="1:22" x14ac:dyDescent="0.25">
      <c r="A29">
        <v>29</v>
      </c>
      <c r="B29" t="s">
        <v>83</v>
      </c>
      <c r="C29" t="s">
        <v>84</v>
      </c>
      <c r="D29" t="s">
        <v>24</v>
      </c>
      <c r="F29">
        <v>71</v>
      </c>
      <c r="G29">
        <v>9</v>
      </c>
      <c r="H29">
        <v>12.68</v>
      </c>
      <c r="I29">
        <v>38.25</v>
      </c>
      <c r="J29">
        <v>47</v>
      </c>
      <c r="K29">
        <v>19.149999999999999</v>
      </c>
      <c r="L29">
        <v>53.87</v>
      </c>
      <c r="M29" s="1">
        <v>87.93</v>
      </c>
      <c r="N29">
        <v>123.84</v>
      </c>
      <c r="S29">
        <v>9.68</v>
      </c>
      <c r="T29">
        <v>62.43</v>
      </c>
      <c r="U29">
        <v>16.09</v>
      </c>
      <c r="V29">
        <v>-0.28000000000000003</v>
      </c>
    </row>
    <row r="30" spans="1:22" x14ac:dyDescent="0.25">
      <c r="A30">
        <v>42</v>
      </c>
      <c r="B30" t="s">
        <v>109</v>
      </c>
      <c r="C30" t="s">
        <v>110</v>
      </c>
      <c r="D30" t="s">
        <v>111</v>
      </c>
      <c r="F30">
        <v>1500</v>
      </c>
      <c r="G30">
        <v>107</v>
      </c>
      <c r="H30">
        <v>7.13</v>
      </c>
      <c r="I30">
        <v>-344.84</v>
      </c>
      <c r="J30">
        <v>1171</v>
      </c>
      <c r="K30">
        <v>9.14</v>
      </c>
      <c r="L30">
        <v>-22.99</v>
      </c>
      <c r="M30" s="1">
        <v>77.790000000000006</v>
      </c>
      <c r="N30">
        <v>5.19</v>
      </c>
      <c r="S30">
        <v>-91.12</v>
      </c>
      <c r="T30">
        <v>28.82</v>
      </c>
      <c r="U30">
        <v>154.93</v>
      </c>
      <c r="V30">
        <v>-14.85</v>
      </c>
    </row>
    <row r="31" spans="1:22" x14ac:dyDescent="0.25">
      <c r="A31">
        <v>91</v>
      </c>
      <c r="B31" t="s">
        <v>215</v>
      </c>
      <c r="C31" t="s">
        <v>216</v>
      </c>
      <c r="D31" t="s">
        <v>27</v>
      </c>
      <c r="F31">
        <v>432</v>
      </c>
      <c r="G31">
        <v>44</v>
      </c>
      <c r="H31">
        <v>10.19</v>
      </c>
      <c r="I31">
        <v>-12.5</v>
      </c>
      <c r="J31">
        <v>419</v>
      </c>
      <c r="K31">
        <v>10.5</v>
      </c>
      <c r="L31">
        <v>-2.89</v>
      </c>
      <c r="M31" s="1">
        <v>71.540000000000006</v>
      </c>
      <c r="N31">
        <v>16.559999999999999</v>
      </c>
      <c r="Q31">
        <v>-50.41</v>
      </c>
      <c r="R31">
        <v>22.35</v>
      </c>
      <c r="S31">
        <v>5.25</v>
      </c>
      <c r="T31">
        <v>-19.61</v>
      </c>
      <c r="U31">
        <v>-7.88</v>
      </c>
      <c r="V31">
        <v>121.83</v>
      </c>
    </row>
    <row r="32" spans="1:22" x14ac:dyDescent="0.25">
      <c r="A32">
        <v>47</v>
      </c>
      <c r="B32" t="s">
        <v>121</v>
      </c>
      <c r="C32" t="s">
        <v>122</v>
      </c>
      <c r="D32" t="s">
        <v>123</v>
      </c>
      <c r="F32">
        <v>189</v>
      </c>
      <c r="G32">
        <v>7</v>
      </c>
      <c r="H32">
        <v>3.7</v>
      </c>
      <c r="I32">
        <v>5</v>
      </c>
      <c r="J32">
        <v>185</v>
      </c>
      <c r="K32">
        <v>3.78</v>
      </c>
      <c r="L32">
        <v>2.65</v>
      </c>
      <c r="M32" s="1">
        <v>70.53</v>
      </c>
      <c r="N32">
        <v>37.32</v>
      </c>
      <c r="S32">
        <v>104.85</v>
      </c>
      <c r="T32">
        <v>-58</v>
      </c>
      <c r="U32">
        <v>3.52</v>
      </c>
      <c r="V32">
        <v>20.149999999999999</v>
      </c>
    </row>
    <row r="33" spans="1:22" x14ac:dyDescent="0.25">
      <c r="A33">
        <v>33</v>
      </c>
      <c r="B33" t="s">
        <v>91</v>
      </c>
      <c r="C33" t="s">
        <v>84</v>
      </c>
      <c r="D33" t="s">
        <v>24</v>
      </c>
      <c r="F33">
        <v>95</v>
      </c>
      <c r="G33">
        <v>22</v>
      </c>
      <c r="H33">
        <v>23.16</v>
      </c>
      <c r="I33">
        <v>45.43</v>
      </c>
      <c r="J33">
        <v>75</v>
      </c>
      <c r="K33">
        <v>29.33</v>
      </c>
      <c r="L33">
        <v>47.82</v>
      </c>
      <c r="M33" s="1">
        <v>66.430000000000007</v>
      </c>
      <c r="N33">
        <v>69.930000000000007</v>
      </c>
      <c r="S33">
        <v>32.43</v>
      </c>
      <c r="T33">
        <v>0.04</v>
      </c>
      <c r="U33">
        <v>-1.44</v>
      </c>
      <c r="V33">
        <v>35.4</v>
      </c>
    </row>
    <row r="34" spans="1:22" x14ac:dyDescent="0.25">
      <c r="A34">
        <v>68</v>
      </c>
      <c r="B34" t="s">
        <v>163</v>
      </c>
      <c r="C34" t="s">
        <v>164</v>
      </c>
      <c r="D34" t="s">
        <v>88</v>
      </c>
      <c r="F34">
        <v>494</v>
      </c>
      <c r="G34">
        <v>28</v>
      </c>
      <c r="H34">
        <v>5.67</v>
      </c>
      <c r="I34">
        <v>-37</v>
      </c>
      <c r="J34">
        <v>492</v>
      </c>
      <c r="K34">
        <v>5.69</v>
      </c>
      <c r="L34">
        <v>-7.49</v>
      </c>
      <c r="M34" s="1">
        <v>54.46</v>
      </c>
      <c r="N34">
        <v>11.02</v>
      </c>
      <c r="R34">
        <v>42.09</v>
      </c>
      <c r="S34">
        <v>-3.72</v>
      </c>
      <c r="T34">
        <v>-61.66</v>
      </c>
      <c r="U34">
        <v>17.440000000000001</v>
      </c>
      <c r="V34">
        <v>60.31</v>
      </c>
    </row>
    <row r="35" spans="1:22" x14ac:dyDescent="0.25">
      <c r="A35">
        <v>24</v>
      </c>
      <c r="B35" t="s">
        <v>71</v>
      </c>
      <c r="C35" t="s">
        <v>72</v>
      </c>
      <c r="D35" t="s">
        <v>24</v>
      </c>
      <c r="F35">
        <v>230</v>
      </c>
      <c r="G35">
        <v>19</v>
      </c>
      <c r="H35">
        <v>8.26</v>
      </c>
      <c r="I35">
        <v>16.16</v>
      </c>
      <c r="J35">
        <v>227</v>
      </c>
      <c r="K35">
        <v>8.3699999999999992</v>
      </c>
      <c r="L35">
        <v>7.03</v>
      </c>
      <c r="M35" s="1">
        <v>53.42</v>
      </c>
      <c r="N35">
        <v>23.23</v>
      </c>
      <c r="S35">
        <v>-11.6</v>
      </c>
      <c r="T35">
        <v>18.850000000000001</v>
      </c>
      <c r="U35">
        <v>53.25</v>
      </c>
      <c r="V35">
        <v>-7.08</v>
      </c>
    </row>
    <row r="36" spans="1:22" x14ac:dyDescent="0.25">
      <c r="A36">
        <v>46</v>
      </c>
      <c r="B36" t="s">
        <v>120</v>
      </c>
      <c r="C36" t="s">
        <v>84</v>
      </c>
      <c r="D36" t="s">
        <v>24</v>
      </c>
      <c r="F36">
        <v>46</v>
      </c>
      <c r="G36">
        <v>3</v>
      </c>
      <c r="H36">
        <v>6.52</v>
      </c>
      <c r="I36">
        <v>12.25</v>
      </c>
      <c r="J36">
        <v>44</v>
      </c>
      <c r="K36">
        <v>6.82</v>
      </c>
      <c r="L36">
        <v>26.63</v>
      </c>
      <c r="M36" s="1">
        <v>37.770000000000003</v>
      </c>
      <c r="N36">
        <v>82.11</v>
      </c>
      <c r="S36">
        <v>-8</v>
      </c>
      <c r="T36">
        <v>63.66</v>
      </c>
      <c r="U36">
        <v>-5.89</v>
      </c>
      <c r="V36">
        <v>-12</v>
      </c>
    </row>
    <row r="37" spans="1:22" x14ac:dyDescent="0.25">
      <c r="A37">
        <v>45</v>
      </c>
      <c r="B37" t="s">
        <v>118</v>
      </c>
      <c r="C37" t="s">
        <v>119</v>
      </c>
      <c r="D37" t="s">
        <v>24</v>
      </c>
      <c r="F37">
        <v>103</v>
      </c>
      <c r="G37">
        <v>6</v>
      </c>
      <c r="H37">
        <v>5.83</v>
      </c>
      <c r="I37">
        <v>-9</v>
      </c>
      <c r="J37">
        <v>66</v>
      </c>
      <c r="K37">
        <v>9.09</v>
      </c>
      <c r="L37">
        <v>-8.74</v>
      </c>
      <c r="M37" s="1">
        <v>34.380000000000003</v>
      </c>
      <c r="N37">
        <v>33.369999999999997</v>
      </c>
      <c r="S37">
        <v>-14.89</v>
      </c>
      <c r="T37">
        <v>49.93</v>
      </c>
      <c r="U37">
        <v>-31</v>
      </c>
      <c r="V37">
        <v>30.34</v>
      </c>
    </row>
    <row r="38" spans="1:22" x14ac:dyDescent="0.25">
      <c r="A38">
        <v>10</v>
      </c>
      <c r="B38" t="s">
        <v>45</v>
      </c>
      <c r="C38" t="s">
        <v>46</v>
      </c>
      <c r="D38" t="s">
        <v>47</v>
      </c>
      <c r="F38">
        <v>570</v>
      </c>
      <c r="G38">
        <v>32</v>
      </c>
      <c r="H38">
        <v>5.61</v>
      </c>
      <c r="I38">
        <v>-90</v>
      </c>
      <c r="J38">
        <v>562</v>
      </c>
      <c r="K38">
        <v>5.69</v>
      </c>
      <c r="L38">
        <v>-15.79</v>
      </c>
      <c r="M38" s="1">
        <v>29.41</v>
      </c>
      <c r="N38">
        <v>5.16</v>
      </c>
      <c r="P38">
        <v>6.87</v>
      </c>
      <c r="Q38">
        <v>-14.41</v>
      </c>
      <c r="R38">
        <v>20.9</v>
      </c>
      <c r="S38">
        <v>55.31</v>
      </c>
      <c r="T38">
        <v>-18.18</v>
      </c>
      <c r="U38">
        <v>-27.55</v>
      </c>
      <c r="V38">
        <v>6.46</v>
      </c>
    </row>
    <row r="39" spans="1:22" x14ac:dyDescent="0.25">
      <c r="A39">
        <v>41</v>
      </c>
      <c r="B39" t="s">
        <v>106</v>
      </c>
      <c r="C39" t="s">
        <v>107</v>
      </c>
      <c r="D39" t="s">
        <v>108</v>
      </c>
      <c r="F39">
        <v>2994</v>
      </c>
      <c r="G39">
        <v>173</v>
      </c>
      <c r="H39">
        <v>5.78</v>
      </c>
      <c r="I39">
        <v>-610</v>
      </c>
      <c r="J39">
        <v>2434</v>
      </c>
      <c r="K39">
        <v>7.11</v>
      </c>
      <c r="L39">
        <v>-20.37</v>
      </c>
      <c r="M39" s="1">
        <v>24.19</v>
      </c>
      <c r="N39">
        <v>0.81</v>
      </c>
      <c r="T39">
        <v>14.53</v>
      </c>
      <c r="U39">
        <v>30.64</v>
      </c>
      <c r="V39">
        <v>-20.97</v>
      </c>
    </row>
    <row r="40" spans="1:22" x14ac:dyDescent="0.25">
      <c r="A40">
        <v>36</v>
      </c>
      <c r="B40" t="s">
        <v>95</v>
      </c>
      <c r="C40" t="s">
        <v>96</v>
      </c>
      <c r="D40" t="s">
        <v>24</v>
      </c>
      <c r="F40">
        <v>983</v>
      </c>
      <c r="G40">
        <v>136</v>
      </c>
      <c r="H40">
        <v>13.84</v>
      </c>
      <c r="I40">
        <v>-213.13</v>
      </c>
      <c r="J40">
        <v>889</v>
      </c>
      <c r="K40">
        <v>15.3</v>
      </c>
      <c r="L40">
        <v>-21.68</v>
      </c>
      <c r="M40" s="1">
        <v>23.61</v>
      </c>
      <c r="N40">
        <v>2.4</v>
      </c>
      <c r="P40">
        <v>25.21</v>
      </c>
      <c r="Q40">
        <v>-19.260000000000002</v>
      </c>
      <c r="R40">
        <v>220.56</v>
      </c>
      <c r="S40">
        <v>-112.2</v>
      </c>
      <c r="T40">
        <v>-42.16</v>
      </c>
      <c r="U40">
        <v>-31.94</v>
      </c>
      <c r="V40">
        <v>-16.61</v>
      </c>
    </row>
    <row r="41" spans="1:22" x14ac:dyDescent="0.25">
      <c r="A41">
        <v>79</v>
      </c>
      <c r="B41" t="s">
        <v>186</v>
      </c>
      <c r="C41" t="s">
        <v>82</v>
      </c>
      <c r="D41" t="s">
        <v>187</v>
      </c>
      <c r="F41">
        <v>147</v>
      </c>
      <c r="G41">
        <v>23</v>
      </c>
      <c r="H41">
        <v>15.65</v>
      </c>
      <c r="I41">
        <v>2.42</v>
      </c>
      <c r="J41">
        <v>116</v>
      </c>
      <c r="K41">
        <v>19.829999999999998</v>
      </c>
      <c r="L41">
        <v>1.65</v>
      </c>
      <c r="M41" s="1">
        <v>21.8</v>
      </c>
      <c r="N41">
        <v>14.83</v>
      </c>
      <c r="S41">
        <v>-16.98</v>
      </c>
      <c r="T41">
        <v>33.67</v>
      </c>
      <c r="U41">
        <v>24.99</v>
      </c>
      <c r="V41">
        <v>-19.88</v>
      </c>
    </row>
    <row r="42" spans="1:22" x14ac:dyDescent="0.25">
      <c r="A42">
        <v>76</v>
      </c>
      <c r="B42" t="s">
        <v>181</v>
      </c>
      <c r="C42" t="s">
        <v>182</v>
      </c>
      <c r="D42" t="s">
        <v>24</v>
      </c>
      <c r="F42">
        <v>25</v>
      </c>
      <c r="G42">
        <v>3</v>
      </c>
      <c r="H42">
        <v>12</v>
      </c>
      <c r="I42">
        <v>4.78</v>
      </c>
      <c r="J42">
        <v>18</v>
      </c>
      <c r="K42">
        <v>16.670000000000002</v>
      </c>
      <c r="L42">
        <v>19.12</v>
      </c>
      <c r="M42" s="1">
        <v>21.62</v>
      </c>
      <c r="N42">
        <v>86.5</v>
      </c>
      <c r="S42">
        <v>-2</v>
      </c>
      <c r="T42">
        <v>-6.58</v>
      </c>
      <c r="U42">
        <v>36.64</v>
      </c>
      <c r="V42">
        <v>-6.43</v>
      </c>
    </row>
    <row r="43" spans="1:22" x14ac:dyDescent="0.25">
      <c r="A43">
        <v>63</v>
      </c>
      <c r="B43" t="s">
        <v>150</v>
      </c>
      <c r="C43" t="s">
        <v>151</v>
      </c>
      <c r="D43" t="s">
        <v>24</v>
      </c>
      <c r="F43">
        <v>4</v>
      </c>
      <c r="G43">
        <v>1</v>
      </c>
      <c r="H43">
        <v>25</v>
      </c>
      <c r="I43">
        <v>13</v>
      </c>
      <c r="J43">
        <v>4</v>
      </c>
      <c r="K43">
        <v>25</v>
      </c>
      <c r="L43">
        <v>325</v>
      </c>
      <c r="M43" s="1">
        <v>16.95</v>
      </c>
      <c r="N43">
        <v>423.75</v>
      </c>
      <c r="S43">
        <v>-1</v>
      </c>
      <c r="T43">
        <v>-1</v>
      </c>
      <c r="U43">
        <v>19.95</v>
      </c>
      <c r="V43">
        <v>-1</v>
      </c>
    </row>
    <row r="44" spans="1:22" x14ac:dyDescent="0.25">
      <c r="A44">
        <v>58</v>
      </c>
      <c r="B44" t="s">
        <v>142</v>
      </c>
      <c r="C44" t="s">
        <v>143</v>
      </c>
      <c r="D44" t="s">
        <v>24</v>
      </c>
      <c r="F44">
        <v>140</v>
      </c>
      <c r="G44">
        <v>55</v>
      </c>
      <c r="H44">
        <v>39.29</v>
      </c>
      <c r="I44">
        <v>1.1200000000000001</v>
      </c>
      <c r="J44">
        <v>127</v>
      </c>
      <c r="K44">
        <v>43.31</v>
      </c>
      <c r="L44">
        <v>0.8</v>
      </c>
      <c r="M44" s="1">
        <v>11.65</v>
      </c>
      <c r="N44">
        <v>8.32</v>
      </c>
      <c r="S44">
        <v>-5.48</v>
      </c>
      <c r="T44">
        <v>4.34</v>
      </c>
      <c r="U44">
        <v>12.23</v>
      </c>
      <c r="V44">
        <v>0.56000000000000005</v>
      </c>
    </row>
    <row r="45" spans="1:22" x14ac:dyDescent="0.25">
      <c r="A45">
        <v>11</v>
      </c>
      <c r="B45" t="s">
        <v>48</v>
      </c>
      <c r="C45" t="s">
        <v>49</v>
      </c>
      <c r="D45" t="s">
        <v>24</v>
      </c>
      <c r="F45">
        <v>496</v>
      </c>
      <c r="G45">
        <v>45</v>
      </c>
      <c r="H45">
        <v>9.07</v>
      </c>
      <c r="I45">
        <v>-89.33</v>
      </c>
      <c r="J45">
        <v>474</v>
      </c>
      <c r="K45">
        <v>9.49</v>
      </c>
      <c r="L45">
        <v>-18.010000000000002</v>
      </c>
      <c r="M45" s="1">
        <v>10.99</v>
      </c>
      <c r="N45">
        <v>2.2200000000000002</v>
      </c>
      <c r="R45">
        <v>14.95</v>
      </c>
      <c r="S45">
        <v>17.899999999999999</v>
      </c>
      <c r="T45">
        <v>-13.42</v>
      </c>
      <c r="U45">
        <v>-21.15</v>
      </c>
      <c r="V45">
        <v>12.71</v>
      </c>
    </row>
    <row r="46" spans="1:22" x14ac:dyDescent="0.25">
      <c r="A46">
        <v>39</v>
      </c>
      <c r="B46" t="s">
        <v>102</v>
      </c>
      <c r="C46" t="s">
        <v>84</v>
      </c>
      <c r="D46" t="s">
        <v>24</v>
      </c>
      <c r="F46">
        <v>23</v>
      </c>
      <c r="G46">
        <v>2</v>
      </c>
      <c r="H46">
        <v>8.6999999999999993</v>
      </c>
      <c r="I46">
        <v>5</v>
      </c>
      <c r="J46">
        <v>23</v>
      </c>
      <c r="K46">
        <v>8.6999999999999993</v>
      </c>
      <c r="L46">
        <v>21.74</v>
      </c>
      <c r="M46" s="1">
        <v>8.14</v>
      </c>
      <c r="N46">
        <v>35.380000000000003</v>
      </c>
      <c r="S46">
        <v>-4</v>
      </c>
      <c r="T46">
        <v>-3</v>
      </c>
      <c r="U46">
        <v>20.14</v>
      </c>
      <c r="V46">
        <v>-5</v>
      </c>
    </row>
    <row r="47" spans="1:22" x14ac:dyDescent="0.25">
      <c r="A47">
        <v>44</v>
      </c>
      <c r="B47" t="s">
        <v>116</v>
      </c>
      <c r="C47" t="s">
        <v>117</v>
      </c>
      <c r="D47" t="s">
        <v>24</v>
      </c>
      <c r="F47">
        <v>108</v>
      </c>
      <c r="G47">
        <v>14</v>
      </c>
      <c r="H47">
        <v>12.96</v>
      </c>
      <c r="I47">
        <v>-11.77</v>
      </c>
      <c r="J47">
        <v>102</v>
      </c>
      <c r="K47">
        <v>13.73</v>
      </c>
      <c r="L47">
        <v>-10.9</v>
      </c>
      <c r="M47" s="1">
        <v>4.68</v>
      </c>
      <c r="N47">
        <v>4.33</v>
      </c>
      <c r="S47">
        <v>8.1199999999999992</v>
      </c>
      <c r="T47">
        <v>-10.07</v>
      </c>
      <c r="U47">
        <v>-15.39</v>
      </c>
      <c r="V47">
        <v>22.02</v>
      </c>
    </row>
    <row r="48" spans="1:22" x14ac:dyDescent="0.25">
      <c r="A48">
        <v>95</v>
      </c>
      <c r="B48" t="s">
        <v>221</v>
      </c>
      <c r="C48" t="s">
        <v>222</v>
      </c>
      <c r="D48" t="s">
        <v>223</v>
      </c>
      <c r="F48">
        <v>38</v>
      </c>
      <c r="G48">
        <v>3</v>
      </c>
      <c r="H48">
        <v>7.89</v>
      </c>
      <c r="I48">
        <v>-1.5</v>
      </c>
      <c r="J48">
        <v>37</v>
      </c>
      <c r="K48">
        <v>8.11</v>
      </c>
      <c r="L48">
        <v>-3.95</v>
      </c>
      <c r="M48" s="1">
        <v>3.17</v>
      </c>
      <c r="N48">
        <v>8.34</v>
      </c>
      <c r="U48">
        <v>-23</v>
      </c>
      <c r="V48">
        <v>26.17</v>
      </c>
    </row>
    <row r="49" spans="1:22" x14ac:dyDescent="0.25">
      <c r="A49">
        <v>60</v>
      </c>
      <c r="B49" t="s">
        <v>147</v>
      </c>
      <c r="C49" t="s">
        <v>143</v>
      </c>
      <c r="D49" t="s">
        <v>24</v>
      </c>
      <c r="F49">
        <v>112</v>
      </c>
      <c r="G49">
        <v>41</v>
      </c>
      <c r="H49">
        <v>36.61</v>
      </c>
      <c r="I49">
        <v>-2.4500000000000002</v>
      </c>
      <c r="J49">
        <v>99</v>
      </c>
      <c r="K49">
        <v>41.41</v>
      </c>
      <c r="L49">
        <v>-2.19</v>
      </c>
      <c r="M49" s="1">
        <v>2.0099999999999998</v>
      </c>
      <c r="N49">
        <v>1.79</v>
      </c>
      <c r="S49">
        <v>-7.39</v>
      </c>
      <c r="T49">
        <v>8.58</v>
      </c>
      <c r="U49">
        <v>6.32</v>
      </c>
      <c r="V49">
        <v>-5.51</v>
      </c>
    </row>
    <row r="50" spans="1:22" x14ac:dyDescent="0.25">
      <c r="A50">
        <v>54</v>
      </c>
      <c r="B50" t="s">
        <v>135</v>
      </c>
      <c r="C50" t="s">
        <v>136</v>
      </c>
      <c r="D50" t="s">
        <v>24</v>
      </c>
      <c r="F50">
        <v>355</v>
      </c>
      <c r="G50">
        <v>45</v>
      </c>
      <c r="H50">
        <v>12.68</v>
      </c>
      <c r="I50">
        <v>-53.26</v>
      </c>
      <c r="J50">
        <v>351</v>
      </c>
      <c r="K50">
        <v>12.82</v>
      </c>
      <c r="L50">
        <v>-15</v>
      </c>
      <c r="M50" s="1">
        <v>1.87</v>
      </c>
      <c r="N50">
        <v>0.53</v>
      </c>
      <c r="S50">
        <v>-14.59</v>
      </c>
      <c r="T50">
        <v>-25.47</v>
      </c>
      <c r="U50">
        <v>34.33</v>
      </c>
      <c r="V50">
        <v>7.59</v>
      </c>
    </row>
    <row r="51" spans="1:22" x14ac:dyDescent="0.25">
      <c r="A51">
        <v>30</v>
      </c>
      <c r="B51" t="s">
        <v>85</v>
      </c>
      <c r="C51" t="s">
        <v>84</v>
      </c>
      <c r="D51" t="s">
        <v>24</v>
      </c>
      <c r="F51">
        <v>11</v>
      </c>
      <c r="G51">
        <v>2</v>
      </c>
      <c r="H51">
        <v>18.18</v>
      </c>
      <c r="I51">
        <v>1.5</v>
      </c>
      <c r="J51">
        <v>10</v>
      </c>
      <c r="K51">
        <v>20</v>
      </c>
      <c r="L51">
        <v>13.64</v>
      </c>
      <c r="M51" s="1">
        <v>1.67</v>
      </c>
      <c r="N51">
        <v>15.17</v>
      </c>
      <c r="T51">
        <v>2.46</v>
      </c>
      <c r="U51">
        <v>2.21</v>
      </c>
      <c r="V51">
        <v>-3</v>
      </c>
    </row>
    <row r="52" spans="1:22" x14ac:dyDescent="0.25">
      <c r="A52">
        <v>80</v>
      </c>
      <c r="B52" t="s">
        <v>188</v>
      </c>
      <c r="C52" t="s">
        <v>189</v>
      </c>
      <c r="D52" t="s">
        <v>24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1">
        <v>0</v>
      </c>
      <c r="N52">
        <v>0</v>
      </c>
    </row>
    <row r="53" spans="1:22" x14ac:dyDescent="0.25">
      <c r="A53">
        <v>64</v>
      </c>
      <c r="B53" t="s">
        <v>152</v>
      </c>
      <c r="C53" t="s">
        <v>151</v>
      </c>
      <c r="D53" t="s">
        <v>24</v>
      </c>
      <c r="F53">
        <v>16</v>
      </c>
      <c r="G53">
        <v>1</v>
      </c>
      <c r="H53">
        <v>6.25</v>
      </c>
      <c r="I53">
        <v>-5</v>
      </c>
      <c r="J53">
        <v>16</v>
      </c>
      <c r="K53">
        <v>6.25</v>
      </c>
      <c r="L53">
        <v>-31.25</v>
      </c>
      <c r="M53" s="1">
        <v>-1.1599999999999999</v>
      </c>
      <c r="N53">
        <v>-7.24</v>
      </c>
      <c r="S53">
        <v>-3</v>
      </c>
      <c r="T53">
        <v>10.84</v>
      </c>
      <c r="U53">
        <v>-5</v>
      </c>
      <c r="V53">
        <v>-4</v>
      </c>
    </row>
    <row r="54" spans="1:22" x14ac:dyDescent="0.25">
      <c r="A54">
        <v>86</v>
      </c>
      <c r="B54" t="s">
        <v>202</v>
      </c>
      <c r="C54" t="s">
        <v>203</v>
      </c>
      <c r="D54" t="s">
        <v>24</v>
      </c>
      <c r="F54">
        <v>81</v>
      </c>
      <c r="G54">
        <v>25</v>
      </c>
      <c r="H54">
        <v>30.86</v>
      </c>
      <c r="I54">
        <v>-6.68</v>
      </c>
      <c r="J54">
        <v>81</v>
      </c>
      <c r="K54">
        <v>30.86</v>
      </c>
      <c r="L54">
        <v>-8.25</v>
      </c>
      <c r="M54" s="1">
        <v>-3.04</v>
      </c>
      <c r="N54">
        <v>-3.75</v>
      </c>
      <c r="T54">
        <v>1.38</v>
      </c>
      <c r="U54">
        <v>4.87</v>
      </c>
      <c r="V54">
        <v>-9.2799999999999994</v>
      </c>
    </row>
    <row r="55" spans="1:22" x14ac:dyDescent="0.25">
      <c r="A55">
        <v>21</v>
      </c>
      <c r="B55" t="s">
        <v>68</v>
      </c>
      <c r="C55" t="s">
        <v>63</v>
      </c>
      <c r="D55" t="s">
        <v>24</v>
      </c>
      <c r="F55">
        <v>306</v>
      </c>
      <c r="G55">
        <v>30</v>
      </c>
      <c r="H55">
        <v>9.8000000000000007</v>
      </c>
      <c r="I55">
        <v>-46.83</v>
      </c>
      <c r="J55">
        <v>208</v>
      </c>
      <c r="K55">
        <v>14.42</v>
      </c>
      <c r="L55">
        <v>-15.3</v>
      </c>
      <c r="M55" s="1">
        <v>-5.79</v>
      </c>
      <c r="N55">
        <v>-1.89</v>
      </c>
      <c r="S55">
        <v>8.3800000000000008</v>
      </c>
      <c r="T55">
        <v>-27.95</v>
      </c>
      <c r="U55">
        <v>-7.02</v>
      </c>
      <c r="V55">
        <v>20.79</v>
      </c>
    </row>
    <row r="56" spans="1:22" x14ac:dyDescent="0.25">
      <c r="A56">
        <v>14</v>
      </c>
      <c r="B56" t="s">
        <v>55</v>
      </c>
      <c r="C56" t="s">
        <v>56</v>
      </c>
      <c r="D56" t="s">
        <v>57</v>
      </c>
      <c r="F56">
        <v>278</v>
      </c>
      <c r="G56">
        <v>35</v>
      </c>
      <c r="H56">
        <v>12.59</v>
      </c>
      <c r="I56">
        <v>-36.54</v>
      </c>
      <c r="J56">
        <v>273</v>
      </c>
      <c r="K56">
        <v>12.82</v>
      </c>
      <c r="L56">
        <v>-13.14</v>
      </c>
      <c r="M56" s="1">
        <v>-6.73</v>
      </c>
      <c r="N56">
        <v>-2.42</v>
      </c>
      <c r="S56">
        <v>-43.99</v>
      </c>
      <c r="T56">
        <v>-36.69</v>
      </c>
      <c r="U56">
        <v>76</v>
      </c>
      <c r="V56">
        <v>-2.06</v>
      </c>
    </row>
    <row r="57" spans="1:22" x14ac:dyDescent="0.25">
      <c r="A57">
        <v>85</v>
      </c>
      <c r="B57" t="s">
        <v>199</v>
      </c>
      <c r="C57" t="s">
        <v>113</v>
      </c>
      <c r="D57" t="s">
        <v>200</v>
      </c>
      <c r="E57" t="s">
        <v>201</v>
      </c>
      <c r="F57">
        <v>348</v>
      </c>
      <c r="G57">
        <v>24</v>
      </c>
      <c r="H57">
        <v>6.9</v>
      </c>
      <c r="I57">
        <v>-78.5</v>
      </c>
      <c r="J57">
        <v>328</v>
      </c>
      <c r="K57">
        <v>7.32</v>
      </c>
      <c r="L57">
        <v>-22.56</v>
      </c>
      <c r="M57" s="1">
        <v>-8.5299999999999994</v>
      </c>
      <c r="N57">
        <v>-2.4500000000000002</v>
      </c>
      <c r="S57">
        <v>-42.03</v>
      </c>
      <c r="T57">
        <v>57.91</v>
      </c>
      <c r="U57">
        <v>-35.72</v>
      </c>
      <c r="V57">
        <v>11.3</v>
      </c>
    </row>
    <row r="58" spans="1:22" x14ac:dyDescent="0.25">
      <c r="A58">
        <v>99</v>
      </c>
      <c r="B58" t="s">
        <v>229</v>
      </c>
      <c r="C58" t="s">
        <v>84</v>
      </c>
      <c r="D58" t="s">
        <v>24</v>
      </c>
      <c r="E58" t="s">
        <v>230</v>
      </c>
      <c r="F58">
        <v>85</v>
      </c>
      <c r="G58">
        <v>4</v>
      </c>
      <c r="H58">
        <v>4.71</v>
      </c>
      <c r="I58">
        <v>-30.5</v>
      </c>
      <c r="J58">
        <v>58</v>
      </c>
      <c r="K58">
        <v>6.9</v>
      </c>
      <c r="L58">
        <v>-35.880000000000003</v>
      </c>
      <c r="M58" s="1">
        <v>-9.0299999999999994</v>
      </c>
      <c r="N58">
        <v>-10.62</v>
      </c>
      <c r="S58">
        <v>9.89</v>
      </c>
      <c r="T58">
        <v>5.13</v>
      </c>
      <c r="U58">
        <v>-6.05</v>
      </c>
      <c r="V58">
        <v>-18</v>
      </c>
    </row>
    <row r="59" spans="1:22" x14ac:dyDescent="0.25">
      <c r="A59">
        <v>70</v>
      </c>
      <c r="B59" t="s">
        <v>167</v>
      </c>
      <c r="C59" t="s">
        <v>168</v>
      </c>
      <c r="D59" t="s">
        <v>24</v>
      </c>
      <c r="F59">
        <v>171</v>
      </c>
      <c r="G59">
        <v>13</v>
      </c>
      <c r="H59">
        <v>7.6</v>
      </c>
      <c r="I59">
        <v>-34.25</v>
      </c>
      <c r="J59">
        <v>78</v>
      </c>
      <c r="K59">
        <v>16.670000000000002</v>
      </c>
      <c r="L59">
        <v>-20.03</v>
      </c>
      <c r="M59" s="1">
        <v>-10.199999999999999</v>
      </c>
      <c r="N59">
        <v>-5.96</v>
      </c>
      <c r="T59">
        <v>17.899999999999999</v>
      </c>
      <c r="U59">
        <v>10.1</v>
      </c>
      <c r="V59">
        <v>-38.21</v>
      </c>
    </row>
    <row r="60" spans="1:22" x14ac:dyDescent="0.25">
      <c r="A60">
        <v>18</v>
      </c>
      <c r="B60" t="s">
        <v>61</v>
      </c>
      <c r="C60" t="s">
        <v>60</v>
      </c>
      <c r="D60" t="s">
        <v>24</v>
      </c>
      <c r="F60">
        <v>16</v>
      </c>
      <c r="G60">
        <v>1</v>
      </c>
      <c r="H60">
        <v>6.25</v>
      </c>
      <c r="I60">
        <v>-12.25</v>
      </c>
      <c r="J60">
        <v>15</v>
      </c>
      <c r="K60">
        <v>6.67</v>
      </c>
      <c r="L60">
        <v>-76.56</v>
      </c>
      <c r="M60" s="1">
        <v>-12.44</v>
      </c>
      <c r="N60">
        <v>-77.72</v>
      </c>
      <c r="S60">
        <v>-2</v>
      </c>
      <c r="T60">
        <v>-0.44</v>
      </c>
      <c r="U60">
        <v>-4</v>
      </c>
      <c r="V60">
        <v>-6</v>
      </c>
    </row>
    <row r="61" spans="1:22" x14ac:dyDescent="0.25">
      <c r="A61">
        <v>78</v>
      </c>
      <c r="B61" t="s">
        <v>185</v>
      </c>
      <c r="C61" t="s">
        <v>184</v>
      </c>
      <c r="D61" t="s">
        <v>24</v>
      </c>
      <c r="F61">
        <v>88</v>
      </c>
      <c r="G61">
        <v>8</v>
      </c>
      <c r="H61">
        <v>9.09</v>
      </c>
      <c r="I61">
        <v>-17</v>
      </c>
      <c r="J61">
        <v>46</v>
      </c>
      <c r="K61">
        <v>17.39</v>
      </c>
      <c r="L61">
        <v>-19.32</v>
      </c>
      <c r="M61" s="1">
        <v>-12.51</v>
      </c>
      <c r="N61">
        <v>-14.22</v>
      </c>
      <c r="S61">
        <v>4.16</v>
      </c>
      <c r="T61">
        <v>-18</v>
      </c>
      <c r="U61">
        <v>-6.37</v>
      </c>
      <c r="V61">
        <v>7.7</v>
      </c>
    </row>
    <row r="62" spans="1:22" x14ac:dyDescent="0.25">
      <c r="A62">
        <v>67</v>
      </c>
      <c r="B62" t="s">
        <v>160</v>
      </c>
      <c r="C62" t="s">
        <v>161</v>
      </c>
      <c r="D62" t="s">
        <v>162</v>
      </c>
      <c r="F62">
        <v>570</v>
      </c>
      <c r="G62">
        <v>30</v>
      </c>
      <c r="H62">
        <v>5.26</v>
      </c>
      <c r="I62">
        <v>-132.5</v>
      </c>
      <c r="J62">
        <v>534</v>
      </c>
      <c r="K62">
        <v>5.62</v>
      </c>
      <c r="L62">
        <v>-23.25</v>
      </c>
      <c r="M62" s="1">
        <v>-12.76</v>
      </c>
      <c r="N62">
        <v>-2.2400000000000002</v>
      </c>
      <c r="S62">
        <v>-50</v>
      </c>
      <c r="T62">
        <v>106.53</v>
      </c>
      <c r="U62">
        <v>-72.83</v>
      </c>
      <c r="V62">
        <v>3.54</v>
      </c>
    </row>
    <row r="63" spans="1:22" x14ac:dyDescent="0.25">
      <c r="A63">
        <v>31</v>
      </c>
      <c r="B63" t="s">
        <v>86</v>
      </c>
      <c r="C63" t="s">
        <v>87</v>
      </c>
      <c r="D63" t="s">
        <v>88</v>
      </c>
      <c r="F63">
        <v>95</v>
      </c>
      <c r="G63">
        <v>5</v>
      </c>
      <c r="H63">
        <v>5.26</v>
      </c>
      <c r="I63">
        <v>-30.5</v>
      </c>
      <c r="J63">
        <v>89</v>
      </c>
      <c r="K63">
        <v>5.62</v>
      </c>
      <c r="L63">
        <v>-32.11</v>
      </c>
      <c r="M63" s="1">
        <v>-12.82</v>
      </c>
      <c r="N63">
        <v>-13.5</v>
      </c>
      <c r="S63">
        <v>0.06</v>
      </c>
      <c r="T63">
        <v>5.74</v>
      </c>
      <c r="U63">
        <v>-18.62</v>
      </c>
    </row>
    <row r="64" spans="1:22" x14ac:dyDescent="0.25">
      <c r="A64">
        <v>28</v>
      </c>
      <c r="B64" t="s">
        <v>81</v>
      </c>
      <c r="C64" t="s">
        <v>82</v>
      </c>
      <c r="D64" t="s">
        <v>64</v>
      </c>
      <c r="F64">
        <v>255</v>
      </c>
      <c r="G64">
        <v>35</v>
      </c>
      <c r="H64">
        <v>13.73</v>
      </c>
      <c r="I64">
        <v>-47.61</v>
      </c>
      <c r="J64">
        <v>177</v>
      </c>
      <c r="K64">
        <v>19.77</v>
      </c>
      <c r="L64">
        <v>-18.670000000000002</v>
      </c>
      <c r="M64" s="1">
        <v>-13.02</v>
      </c>
      <c r="N64">
        <v>-5.1100000000000003</v>
      </c>
      <c r="S64">
        <v>15.14</v>
      </c>
      <c r="T64">
        <v>-22.85</v>
      </c>
      <c r="U64">
        <v>-5.77</v>
      </c>
      <c r="V64">
        <v>0.46</v>
      </c>
    </row>
    <row r="65" spans="1:22" x14ac:dyDescent="0.25">
      <c r="A65">
        <v>89</v>
      </c>
      <c r="B65" t="s">
        <v>210</v>
      </c>
      <c r="C65" t="s">
        <v>211</v>
      </c>
      <c r="D65" t="s">
        <v>24</v>
      </c>
      <c r="F65">
        <v>253</v>
      </c>
      <c r="G65">
        <v>29</v>
      </c>
      <c r="H65">
        <v>11.46</v>
      </c>
      <c r="I65">
        <v>-46.43</v>
      </c>
      <c r="J65">
        <v>237</v>
      </c>
      <c r="K65">
        <v>12.24</v>
      </c>
      <c r="L65">
        <v>-18.350000000000001</v>
      </c>
      <c r="M65" s="1">
        <v>-13.07</v>
      </c>
      <c r="N65">
        <v>-5.17</v>
      </c>
      <c r="S65">
        <v>-16.66</v>
      </c>
      <c r="T65">
        <v>-4.2699999999999996</v>
      </c>
      <c r="U65">
        <v>4.54</v>
      </c>
      <c r="V65">
        <v>3.31</v>
      </c>
    </row>
    <row r="66" spans="1:22" x14ac:dyDescent="0.25">
      <c r="A66">
        <v>92</v>
      </c>
      <c r="B66" t="s">
        <v>217</v>
      </c>
      <c r="C66" t="s">
        <v>218</v>
      </c>
      <c r="D66" t="s">
        <v>219</v>
      </c>
      <c r="F66">
        <v>195</v>
      </c>
      <c r="G66">
        <v>5</v>
      </c>
      <c r="H66">
        <v>2.56</v>
      </c>
      <c r="I66">
        <v>-74</v>
      </c>
      <c r="J66">
        <v>180</v>
      </c>
      <c r="K66">
        <v>2.78</v>
      </c>
      <c r="L66">
        <v>-37.950000000000003</v>
      </c>
      <c r="M66" s="1">
        <v>-15.92</v>
      </c>
      <c r="N66">
        <v>-8.17</v>
      </c>
      <c r="S66">
        <v>11.94</v>
      </c>
      <c r="T66">
        <v>-1.5</v>
      </c>
      <c r="U66">
        <v>-63</v>
      </c>
      <c r="V66">
        <v>36.64</v>
      </c>
    </row>
    <row r="67" spans="1:22" x14ac:dyDescent="0.25">
      <c r="A67">
        <v>19</v>
      </c>
      <c r="B67" t="s">
        <v>62</v>
      </c>
      <c r="C67" t="s">
        <v>63</v>
      </c>
      <c r="D67" t="s">
        <v>64</v>
      </c>
      <c r="F67">
        <v>77</v>
      </c>
      <c r="G67">
        <v>7</v>
      </c>
      <c r="H67">
        <v>9.09</v>
      </c>
      <c r="I67">
        <v>-27.17</v>
      </c>
      <c r="J67">
        <v>67</v>
      </c>
      <c r="K67">
        <v>10.45</v>
      </c>
      <c r="L67">
        <v>-35.29</v>
      </c>
      <c r="M67" s="1">
        <v>-16.3</v>
      </c>
      <c r="N67">
        <v>-21.16</v>
      </c>
      <c r="S67">
        <v>-11</v>
      </c>
      <c r="T67">
        <v>14.41</v>
      </c>
      <c r="U67">
        <v>-21</v>
      </c>
      <c r="V67">
        <v>1.29</v>
      </c>
    </row>
    <row r="68" spans="1:22" x14ac:dyDescent="0.25">
      <c r="A68">
        <v>48</v>
      </c>
      <c r="B68" t="s">
        <v>61</v>
      </c>
      <c r="C68" t="s">
        <v>60</v>
      </c>
      <c r="D68" t="s">
        <v>24</v>
      </c>
      <c r="F68">
        <v>45</v>
      </c>
      <c r="G68">
        <v>5</v>
      </c>
      <c r="H68">
        <v>11.11</v>
      </c>
      <c r="I68">
        <v>-19.420000000000002</v>
      </c>
      <c r="J68">
        <v>43</v>
      </c>
      <c r="K68">
        <v>11.63</v>
      </c>
      <c r="L68">
        <v>-43.16</v>
      </c>
      <c r="M68" s="1">
        <v>-17.48</v>
      </c>
      <c r="N68">
        <v>-38.83</v>
      </c>
      <c r="S68">
        <v>-1.8</v>
      </c>
      <c r="T68">
        <v>-3.44</v>
      </c>
      <c r="U68">
        <v>-10</v>
      </c>
      <c r="V68">
        <v>-2.2400000000000002</v>
      </c>
    </row>
    <row r="69" spans="1:22" x14ac:dyDescent="0.25">
      <c r="A69">
        <v>100</v>
      </c>
      <c r="B69" t="s">
        <v>231</v>
      </c>
      <c r="C69" t="s">
        <v>232</v>
      </c>
      <c r="D69" t="s">
        <v>24</v>
      </c>
      <c r="E69" t="s">
        <v>233</v>
      </c>
      <c r="F69">
        <v>668</v>
      </c>
      <c r="G69">
        <v>89</v>
      </c>
      <c r="H69">
        <v>13.32</v>
      </c>
      <c r="I69">
        <v>-121.95</v>
      </c>
      <c r="J69">
        <v>388</v>
      </c>
      <c r="K69">
        <v>22.94</v>
      </c>
      <c r="L69">
        <v>-18.260000000000002</v>
      </c>
      <c r="M69" s="1">
        <v>-22.58</v>
      </c>
      <c r="N69">
        <v>-3.38</v>
      </c>
      <c r="Q69">
        <v>-5.88</v>
      </c>
      <c r="R69">
        <v>35.74</v>
      </c>
      <c r="S69">
        <v>-50.08</v>
      </c>
      <c r="T69">
        <v>-23.04</v>
      </c>
      <c r="U69">
        <v>20.68</v>
      </c>
    </row>
    <row r="70" spans="1:22" x14ac:dyDescent="0.25">
      <c r="A70">
        <v>4</v>
      </c>
      <c r="B70" t="s">
        <v>29</v>
      </c>
      <c r="C70" t="s">
        <v>30</v>
      </c>
      <c r="D70" t="s">
        <v>24</v>
      </c>
      <c r="F70">
        <v>140</v>
      </c>
      <c r="G70">
        <v>13</v>
      </c>
      <c r="H70">
        <v>9.2899999999999991</v>
      </c>
      <c r="I70">
        <v>-43.45</v>
      </c>
      <c r="J70">
        <v>133</v>
      </c>
      <c r="K70">
        <v>9.77</v>
      </c>
      <c r="L70">
        <v>-31.04</v>
      </c>
      <c r="M70" s="1">
        <v>-25.55</v>
      </c>
      <c r="N70">
        <v>-18.25</v>
      </c>
      <c r="S70">
        <v>-18.329999999999998</v>
      </c>
      <c r="T70">
        <v>7.43</v>
      </c>
      <c r="U70">
        <v>1.41</v>
      </c>
      <c r="V70">
        <v>-16.05</v>
      </c>
    </row>
    <row r="71" spans="1:22" x14ac:dyDescent="0.25">
      <c r="A71">
        <v>17</v>
      </c>
      <c r="B71" t="s">
        <v>59</v>
      </c>
      <c r="C71" t="s">
        <v>60</v>
      </c>
      <c r="D71" t="s">
        <v>24</v>
      </c>
      <c r="F71">
        <v>64</v>
      </c>
      <c r="G71">
        <v>2</v>
      </c>
      <c r="H71">
        <v>3.13</v>
      </c>
      <c r="I71">
        <v>-49</v>
      </c>
      <c r="J71">
        <v>59</v>
      </c>
      <c r="K71">
        <v>3.39</v>
      </c>
      <c r="L71">
        <v>-76.56</v>
      </c>
      <c r="M71" s="1">
        <v>-45.62</v>
      </c>
      <c r="N71">
        <v>-71.28</v>
      </c>
      <c r="S71">
        <v>-6.13</v>
      </c>
      <c r="T71">
        <v>-6.5</v>
      </c>
      <c r="U71">
        <v>-15</v>
      </c>
      <c r="V71">
        <v>-18</v>
      </c>
    </row>
    <row r="72" spans="1:22" x14ac:dyDescent="0.25">
      <c r="A72">
        <v>74</v>
      </c>
      <c r="B72" t="s">
        <v>175</v>
      </c>
      <c r="C72" t="s">
        <v>176</v>
      </c>
      <c r="D72" t="s">
        <v>24</v>
      </c>
      <c r="E72" t="s">
        <v>177</v>
      </c>
      <c r="F72">
        <v>51</v>
      </c>
      <c r="G72">
        <v>1</v>
      </c>
      <c r="H72">
        <v>1.96</v>
      </c>
      <c r="I72">
        <v>-48.62</v>
      </c>
      <c r="J72">
        <v>27</v>
      </c>
      <c r="K72">
        <v>3.7</v>
      </c>
      <c r="L72">
        <v>-95.33</v>
      </c>
      <c r="M72" s="1">
        <v>-48.5</v>
      </c>
      <c r="N72">
        <v>-95.1</v>
      </c>
      <c r="S72">
        <v>-8.5</v>
      </c>
      <c r="T72">
        <v>-7</v>
      </c>
      <c r="U72">
        <v>-16</v>
      </c>
      <c r="V72">
        <v>-17</v>
      </c>
    </row>
    <row r="73" spans="1:22" x14ac:dyDescent="0.25">
      <c r="A73">
        <v>73</v>
      </c>
      <c r="B73" t="s">
        <v>172</v>
      </c>
      <c r="C73" t="s">
        <v>173</v>
      </c>
      <c r="D73" t="s">
        <v>174</v>
      </c>
      <c r="F73">
        <v>299</v>
      </c>
      <c r="G73">
        <v>10</v>
      </c>
      <c r="H73">
        <v>3.34</v>
      </c>
      <c r="I73">
        <v>-103</v>
      </c>
      <c r="J73">
        <v>66</v>
      </c>
      <c r="K73">
        <v>15.15</v>
      </c>
      <c r="L73">
        <v>-34.450000000000003</v>
      </c>
      <c r="M73" s="1">
        <v>-54.63</v>
      </c>
      <c r="N73">
        <v>-18.27</v>
      </c>
      <c r="T73">
        <v>-1.48</v>
      </c>
      <c r="U73">
        <v>-9.69</v>
      </c>
      <c r="V73">
        <v>-43.46</v>
      </c>
    </row>
    <row r="74" spans="1:22" x14ac:dyDescent="0.25">
      <c r="A74">
        <v>2</v>
      </c>
      <c r="B74" t="s">
        <v>22</v>
      </c>
      <c r="C74" t="s">
        <v>23</v>
      </c>
      <c r="D74" t="s">
        <v>24</v>
      </c>
      <c r="F74">
        <v>136</v>
      </c>
      <c r="G74">
        <v>11</v>
      </c>
      <c r="H74">
        <v>8.09</v>
      </c>
      <c r="I74">
        <v>-65.989999999999995</v>
      </c>
      <c r="J74">
        <v>129</v>
      </c>
      <c r="K74">
        <v>8.5299999999999994</v>
      </c>
      <c r="L74">
        <v>-48.52</v>
      </c>
      <c r="M74" s="1">
        <v>-54.83</v>
      </c>
      <c r="N74">
        <v>-40.32</v>
      </c>
      <c r="S74">
        <v>-9.4</v>
      </c>
      <c r="T74">
        <v>-41.12</v>
      </c>
      <c r="U74">
        <v>-1.89</v>
      </c>
      <c r="V74">
        <v>-2.4300000000000002</v>
      </c>
    </row>
    <row r="75" spans="1:22" x14ac:dyDescent="0.25">
      <c r="A75">
        <v>66</v>
      </c>
      <c r="B75" t="s">
        <v>157</v>
      </c>
      <c r="C75" t="s">
        <v>158</v>
      </c>
      <c r="D75" t="s">
        <v>24</v>
      </c>
      <c r="E75" t="s">
        <v>159</v>
      </c>
      <c r="F75">
        <v>113</v>
      </c>
      <c r="G75">
        <v>8</v>
      </c>
      <c r="H75">
        <v>7.08</v>
      </c>
      <c r="I75">
        <v>-66.819999999999993</v>
      </c>
      <c r="J75">
        <v>43</v>
      </c>
      <c r="K75">
        <v>18.600000000000001</v>
      </c>
      <c r="L75">
        <v>-59.13</v>
      </c>
      <c r="M75" s="1">
        <v>-60.04</v>
      </c>
      <c r="N75">
        <v>-53.13</v>
      </c>
      <c r="S75">
        <v>-7.06</v>
      </c>
      <c r="T75">
        <v>-23.84</v>
      </c>
      <c r="U75">
        <v>-7.97</v>
      </c>
      <c r="V75">
        <v>-21.18</v>
      </c>
    </row>
    <row r="76" spans="1:22" x14ac:dyDescent="0.25">
      <c r="A76">
        <v>25</v>
      </c>
      <c r="B76" t="s">
        <v>73</v>
      </c>
      <c r="C76" t="s">
        <v>74</v>
      </c>
      <c r="D76" t="s">
        <v>75</v>
      </c>
      <c r="F76">
        <v>310</v>
      </c>
      <c r="G76">
        <v>16</v>
      </c>
      <c r="H76">
        <v>5.16</v>
      </c>
      <c r="I76">
        <v>-118</v>
      </c>
      <c r="J76">
        <v>292</v>
      </c>
      <c r="K76">
        <v>5.48</v>
      </c>
      <c r="L76">
        <v>-38.06</v>
      </c>
      <c r="M76" s="1">
        <v>-60.67</v>
      </c>
      <c r="N76">
        <v>-19.57</v>
      </c>
      <c r="S76">
        <v>-38.130000000000003</v>
      </c>
      <c r="T76">
        <v>20.64</v>
      </c>
      <c r="U76">
        <v>-21.23</v>
      </c>
      <c r="V76">
        <v>-21.95</v>
      </c>
    </row>
    <row r="77" spans="1:22" x14ac:dyDescent="0.25">
      <c r="A77">
        <v>71</v>
      </c>
      <c r="B77" t="s">
        <v>169</v>
      </c>
      <c r="C77" t="s">
        <v>60</v>
      </c>
      <c r="D77" t="s">
        <v>24</v>
      </c>
      <c r="F77">
        <v>157</v>
      </c>
      <c r="G77">
        <v>11</v>
      </c>
      <c r="H77">
        <v>7.01</v>
      </c>
      <c r="I77">
        <v>-82.74</v>
      </c>
      <c r="J77">
        <v>127</v>
      </c>
      <c r="K77">
        <v>8.66</v>
      </c>
      <c r="L77">
        <v>-52.7</v>
      </c>
      <c r="M77" s="1">
        <v>-69.319999999999993</v>
      </c>
      <c r="N77">
        <v>-44.15</v>
      </c>
      <c r="S77">
        <v>-4.9400000000000004</v>
      </c>
      <c r="T77">
        <v>-7.37</v>
      </c>
      <c r="U77">
        <v>-21.37</v>
      </c>
      <c r="V77">
        <v>-35.64</v>
      </c>
    </row>
    <row r="78" spans="1:22" x14ac:dyDescent="0.25">
      <c r="A78">
        <v>96</v>
      </c>
      <c r="B78" t="s">
        <v>224</v>
      </c>
      <c r="C78" t="s">
        <v>225</v>
      </c>
      <c r="D78" t="s">
        <v>111</v>
      </c>
      <c r="F78">
        <v>7929</v>
      </c>
      <c r="G78">
        <v>716</v>
      </c>
      <c r="H78">
        <v>9.0299999999999994</v>
      </c>
      <c r="I78">
        <v>-1443.99</v>
      </c>
      <c r="J78">
        <v>5832</v>
      </c>
      <c r="K78">
        <v>12.28</v>
      </c>
      <c r="L78">
        <v>-18.21</v>
      </c>
      <c r="M78" s="1">
        <v>-76.819999999999993</v>
      </c>
      <c r="N78">
        <v>-0.97</v>
      </c>
      <c r="R78">
        <v>132.29</v>
      </c>
      <c r="S78">
        <v>119.23</v>
      </c>
      <c r="T78">
        <v>-57.37</v>
      </c>
      <c r="U78">
        <v>-30.28</v>
      </c>
      <c r="V78">
        <v>-240.68</v>
      </c>
    </row>
    <row r="79" spans="1:22" x14ac:dyDescent="0.25">
      <c r="A79">
        <v>97</v>
      </c>
      <c r="B79" t="s">
        <v>226</v>
      </c>
      <c r="C79" t="s">
        <v>227</v>
      </c>
      <c r="D79" t="s">
        <v>24</v>
      </c>
      <c r="E79" t="s">
        <v>228</v>
      </c>
      <c r="F79">
        <v>10000</v>
      </c>
      <c r="G79">
        <v>1267</v>
      </c>
      <c r="H79">
        <v>12.67</v>
      </c>
      <c r="I79">
        <v>-1914.08</v>
      </c>
      <c r="J79">
        <v>4013</v>
      </c>
      <c r="K79">
        <v>31.57</v>
      </c>
      <c r="L79">
        <v>-19.14</v>
      </c>
      <c r="M79" s="1">
        <v>-83.94</v>
      </c>
      <c r="N79">
        <v>-0.84</v>
      </c>
      <c r="Q79">
        <v>81.239999999999995</v>
      </c>
      <c r="R79">
        <v>123.9</v>
      </c>
      <c r="S79">
        <v>-475.67</v>
      </c>
      <c r="T79">
        <v>14.87</v>
      </c>
      <c r="U79">
        <v>57.29</v>
      </c>
      <c r="V79">
        <v>114.43</v>
      </c>
    </row>
    <row r="80" spans="1:22" x14ac:dyDescent="0.25">
      <c r="A80">
        <v>93</v>
      </c>
      <c r="B80" t="s">
        <v>220</v>
      </c>
      <c r="C80" t="s">
        <v>211</v>
      </c>
      <c r="D80" t="s">
        <v>24</v>
      </c>
      <c r="F80">
        <v>656</v>
      </c>
      <c r="G80">
        <v>83</v>
      </c>
      <c r="H80">
        <v>12.65</v>
      </c>
      <c r="I80">
        <v>-182.3</v>
      </c>
      <c r="J80">
        <v>606</v>
      </c>
      <c r="K80">
        <v>13.7</v>
      </c>
      <c r="L80">
        <v>-27.79</v>
      </c>
      <c r="M80" s="1">
        <v>-86.25</v>
      </c>
      <c r="N80">
        <v>-13.15</v>
      </c>
      <c r="S80">
        <v>-43.06</v>
      </c>
      <c r="T80">
        <v>30.81</v>
      </c>
      <c r="U80">
        <v>-12.33</v>
      </c>
      <c r="V80">
        <v>-61.67</v>
      </c>
    </row>
    <row r="81" spans="1:22" x14ac:dyDescent="0.25">
      <c r="A81">
        <v>69</v>
      </c>
      <c r="B81" t="s">
        <v>165</v>
      </c>
      <c r="C81" t="s">
        <v>166</v>
      </c>
      <c r="D81" t="s">
        <v>24</v>
      </c>
      <c r="F81">
        <v>977</v>
      </c>
      <c r="G81">
        <v>94</v>
      </c>
      <c r="H81">
        <v>9.6199999999999992</v>
      </c>
      <c r="I81">
        <v>-251.87</v>
      </c>
      <c r="J81">
        <v>914</v>
      </c>
      <c r="K81">
        <v>10.28</v>
      </c>
      <c r="L81">
        <v>-25.78</v>
      </c>
      <c r="M81" s="1">
        <v>-86.86</v>
      </c>
      <c r="N81">
        <v>-8.89</v>
      </c>
      <c r="Q81">
        <v>67.489999999999995</v>
      </c>
      <c r="R81">
        <v>-31.16</v>
      </c>
      <c r="S81">
        <v>-40.299999999999997</v>
      </c>
      <c r="T81">
        <v>-85.96</v>
      </c>
      <c r="U81">
        <v>53.53</v>
      </c>
      <c r="V81">
        <v>-50.47</v>
      </c>
    </row>
    <row r="82" spans="1:22" x14ac:dyDescent="0.25">
      <c r="A82">
        <v>20</v>
      </c>
      <c r="B82" t="s">
        <v>65</v>
      </c>
      <c r="C82" t="s">
        <v>66</v>
      </c>
      <c r="D82" t="s">
        <v>24</v>
      </c>
      <c r="E82" t="s">
        <v>67</v>
      </c>
      <c r="F82">
        <v>135</v>
      </c>
      <c r="G82">
        <v>12</v>
      </c>
      <c r="H82">
        <v>8.89</v>
      </c>
      <c r="I82">
        <v>-97.65</v>
      </c>
      <c r="J82">
        <v>130</v>
      </c>
      <c r="K82">
        <v>9.23</v>
      </c>
      <c r="L82">
        <v>-72.33</v>
      </c>
      <c r="M82" s="1">
        <v>-93.91</v>
      </c>
      <c r="N82">
        <v>-69.56</v>
      </c>
      <c r="R82">
        <v>-12.18</v>
      </c>
      <c r="S82">
        <v>-28.29</v>
      </c>
      <c r="T82">
        <v>-24.09</v>
      </c>
      <c r="U82">
        <v>-15.6</v>
      </c>
      <c r="V82">
        <v>-13.75</v>
      </c>
    </row>
    <row r="83" spans="1:22" x14ac:dyDescent="0.25">
      <c r="A83">
        <v>52</v>
      </c>
      <c r="B83" t="s">
        <v>132</v>
      </c>
      <c r="C83" t="s">
        <v>44</v>
      </c>
      <c r="D83" t="s">
        <v>24</v>
      </c>
      <c r="F83">
        <v>149</v>
      </c>
      <c r="G83">
        <v>10</v>
      </c>
      <c r="H83">
        <v>6.71</v>
      </c>
      <c r="I83">
        <v>-98.67</v>
      </c>
      <c r="J83">
        <v>148</v>
      </c>
      <c r="K83">
        <v>6.76</v>
      </c>
      <c r="L83">
        <v>-66.22</v>
      </c>
      <c r="M83" s="1">
        <v>-94.56</v>
      </c>
      <c r="N83">
        <v>-63.46</v>
      </c>
      <c r="S83">
        <v>-31.52</v>
      </c>
      <c r="T83">
        <v>-39.67</v>
      </c>
      <c r="U83">
        <v>-6.38</v>
      </c>
      <c r="V83">
        <v>-17</v>
      </c>
    </row>
    <row r="84" spans="1:22" x14ac:dyDescent="0.25">
      <c r="A84">
        <v>84</v>
      </c>
      <c r="B84" t="s">
        <v>196</v>
      </c>
      <c r="C84" t="s">
        <v>197</v>
      </c>
      <c r="D84" t="s">
        <v>198</v>
      </c>
      <c r="F84">
        <v>651</v>
      </c>
      <c r="G84">
        <v>25</v>
      </c>
      <c r="H84">
        <v>3.84</v>
      </c>
      <c r="I84">
        <v>-228</v>
      </c>
      <c r="J84">
        <v>519</v>
      </c>
      <c r="K84">
        <v>4.82</v>
      </c>
      <c r="L84">
        <v>-35.020000000000003</v>
      </c>
      <c r="M84" s="1">
        <v>-100.75</v>
      </c>
      <c r="N84">
        <v>-15.48</v>
      </c>
      <c r="P84">
        <v>42.9</v>
      </c>
      <c r="Q84">
        <v>-71.45</v>
      </c>
      <c r="R84">
        <v>87.85</v>
      </c>
      <c r="S84">
        <v>-22.3</v>
      </c>
      <c r="T84">
        <v>-58.69</v>
      </c>
      <c r="U84">
        <v>-25.48</v>
      </c>
      <c r="V84">
        <v>-53.58</v>
      </c>
    </row>
    <row r="85" spans="1:22" x14ac:dyDescent="0.25">
      <c r="A85">
        <v>75</v>
      </c>
      <c r="B85" t="s">
        <v>178</v>
      </c>
      <c r="C85" t="s">
        <v>179</v>
      </c>
      <c r="D85" t="s">
        <v>180</v>
      </c>
      <c r="F85">
        <v>543</v>
      </c>
      <c r="G85">
        <v>44</v>
      </c>
      <c r="H85">
        <v>8.1</v>
      </c>
      <c r="I85">
        <v>-177.35</v>
      </c>
      <c r="J85">
        <v>419</v>
      </c>
      <c r="K85">
        <v>10.5</v>
      </c>
      <c r="L85">
        <v>-32.659999999999997</v>
      </c>
      <c r="M85" s="1">
        <v>-102.7</v>
      </c>
      <c r="N85">
        <v>-18.91</v>
      </c>
      <c r="S85">
        <v>-47.38</v>
      </c>
      <c r="T85">
        <v>-13.03</v>
      </c>
      <c r="U85">
        <v>-22.75</v>
      </c>
      <c r="V85">
        <v>-19.54</v>
      </c>
    </row>
    <row r="86" spans="1:22" x14ac:dyDescent="0.25">
      <c r="A86">
        <v>37</v>
      </c>
      <c r="B86" t="s">
        <v>97</v>
      </c>
      <c r="C86" t="s">
        <v>46</v>
      </c>
      <c r="D86" t="s">
        <v>98</v>
      </c>
      <c r="F86">
        <v>3351</v>
      </c>
      <c r="G86">
        <v>165</v>
      </c>
      <c r="H86">
        <v>4.92</v>
      </c>
      <c r="I86">
        <v>-697</v>
      </c>
      <c r="J86">
        <v>3195</v>
      </c>
      <c r="K86">
        <v>5.16</v>
      </c>
      <c r="L86">
        <v>-20.8</v>
      </c>
      <c r="M86" s="1">
        <v>-105.19</v>
      </c>
      <c r="N86">
        <v>-3.14</v>
      </c>
      <c r="P86">
        <v>38.14</v>
      </c>
      <c r="Q86">
        <v>-5.12</v>
      </c>
      <c r="R86">
        <v>-26.03</v>
      </c>
      <c r="S86">
        <v>-39.85</v>
      </c>
      <c r="T86">
        <v>-168.21</v>
      </c>
      <c r="U86">
        <v>14.77</v>
      </c>
      <c r="V86">
        <v>81.099999999999994</v>
      </c>
    </row>
    <row r="87" spans="1:22" x14ac:dyDescent="0.25">
      <c r="A87">
        <v>9</v>
      </c>
      <c r="B87" t="s">
        <v>43</v>
      </c>
      <c r="C87" t="s">
        <v>44</v>
      </c>
      <c r="D87" t="s">
        <v>24</v>
      </c>
      <c r="F87">
        <v>1369</v>
      </c>
      <c r="G87">
        <v>134</v>
      </c>
      <c r="H87">
        <v>9.7899999999999991</v>
      </c>
      <c r="I87">
        <v>-276.14</v>
      </c>
      <c r="J87">
        <v>1082</v>
      </c>
      <c r="K87">
        <v>12.38</v>
      </c>
      <c r="L87">
        <v>-20.170000000000002</v>
      </c>
      <c r="M87" s="1">
        <v>-110.72</v>
      </c>
      <c r="N87">
        <v>-8.09</v>
      </c>
      <c r="S87">
        <v>15.53</v>
      </c>
      <c r="T87">
        <v>-71.62</v>
      </c>
      <c r="U87">
        <v>26.02</v>
      </c>
      <c r="V87">
        <v>-80.650000000000006</v>
      </c>
    </row>
    <row r="88" spans="1:22" x14ac:dyDescent="0.25">
      <c r="A88">
        <v>49</v>
      </c>
      <c r="B88" t="s">
        <v>124</v>
      </c>
      <c r="C88" t="s">
        <v>125</v>
      </c>
      <c r="D88" t="s">
        <v>24</v>
      </c>
      <c r="F88">
        <v>337</v>
      </c>
      <c r="G88">
        <v>28</v>
      </c>
      <c r="H88">
        <v>8.31</v>
      </c>
      <c r="I88">
        <v>-152.66</v>
      </c>
      <c r="J88">
        <v>254</v>
      </c>
      <c r="K88">
        <v>11.02</v>
      </c>
      <c r="L88">
        <v>-45.3</v>
      </c>
      <c r="M88" s="1">
        <v>-121.47</v>
      </c>
      <c r="N88">
        <v>-36.04</v>
      </c>
      <c r="S88">
        <v>-10.11</v>
      </c>
      <c r="T88">
        <v>-49.41</v>
      </c>
      <c r="U88">
        <v>-30.36</v>
      </c>
      <c r="V88">
        <v>-31.59</v>
      </c>
    </row>
    <row r="89" spans="1:22" x14ac:dyDescent="0.25">
      <c r="A89">
        <v>82</v>
      </c>
      <c r="B89" t="s">
        <v>193</v>
      </c>
      <c r="C89" t="s">
        <v>194</v>
      </c>
      <c r="D89" t="s">
        <v>195</v>
      </c>
      <c r="F89">
        <v>266</v>
      </c>
      <c r="G89">
        <v>1</v>
      </c>
      <c r="H89">
        <v>0.38</v>
      </c>
      <c r="I89">
        <v>-199</v>
      </c>
      <c r="J89">
        <v>216</v>
      </c>
      <c r="K89">
        <v>0.46</v>
      </c>
      <c r="L89">
        <v>-74.81</v>
      </c>
      <c r="M89" s="1">
        <v>-123.45</v>
      </c>
      <c r="N89">
        <v>-46.41</v>
      </c>
      <c r="R89">
        <v>-45</v>
      </c>
      <c r="S89">
        <v>-70</v>
      </c>
      <c r="T89">
        <v>88.55</v>
      </c>
      <c r="U89">
        <v>-70</v>
      </c>
      <c r="V89">
        <v>-27</v>
      </c>
    </row>
    <row r="90" spans="1:22" x14ac:dyDescent="0.25">
      <c r="A90">
        <v>15</v>
      </c>
      <c r="B90" t="s">
        <v>58</v>
      </c>
      <c r="C90" t="s">
        <v>38</v>
      </c>
      <c r="D90" t="s">
        <v>24</v>
      </c>
      <c r="F90">
        <v>312</v>
      </c>
      <c r="G90">
        <v>24</v>
      </c>
      <c r="H90">
        <v>7.69</v>
      </c>
      <c r="I90">
        <v>-158.35</v>
      </c>
      <c r="J90">
        <v>203</v>
      </c>
      <c r="K90">
        <v>11.82</v>
      </c>
      <c r="L90">
        <v>-50.75</v>
      </c>
      <c r="M90" s="1">
        <v>-133.96</v>
      </c>
      <c r="N90">
        <v>-42.94</v>
      </c>
      <c r="Q90">
        <v>4.0199999999999996</v>
      </c>
      <c r="R90">
        <v>-46.82</v>
      </c>
      <c r="S90">
        <v>-0.94</v>
      </c>
      <c r="T90">
        <v>-34.6</v>
      </c>
      <c r="U90">
        <v>-48.1</v>
      </c>
      <c r="V90">
        <v>-7.51</v>
      </c>
    </row>
    <row r="91" spans="1:22" x14ac:dyDescent="0.25">
      <c r="A91">
        <v>12</v>
      </c>
      <c r="B91" t="s">
        <v>50</v>
      </c>
      <c r="C91" t="s">
        <v>51</v>
      </c>
      <c r="D91" t="s">
        <v>52</v>
      </c>
      <c r="F91">
        <v>621</v>
      </c>
      <c r="G91">
        <v>25</v>
      </c>
      <c r="H91">
        <v>4.03</v>
      </c>
      <c r="I91">
        <v>-301</v>
      </c>
      <c r="J91">
        <v>538</v>
      </c>
      <c r="K91">
        <v>4.6500000000000004</v>
      </c>
      <c r="L91">
        <v>-48.47</v>
      </c>
      <c r="M91" s="1">
        <v>-244.54</v>
      </c>
      <c r="N91">
        <v>-39.380000000000003</v>
      </c>
      <c r="Q91">
        <v>-29.24</v>
      </c>
      <c r="R91">
        <v>-31.07</v>
      </c>
      <c r="S91">
        <v>-82.3</v>
      </c>
      <c r="T91">
        <v>-31.14</v>
      </c>
      <c r="U91">
        <v>-70.8</v>
      </c>
    </row>
    <row r="92" spans="1:22" x14ac:dyDescent="0.25">
      <c r="A92">
        <v>43</v>
      </c>
      <c r="B92" t="s">
        <v>112</v>
      </c>
      <c r="C92" t="s">
        <v>113</v>
      </c>
      <c r="D92" t="s">
        <v>114</v>
      </c>
      <c r="E92" t="s">
        <v>115</v>
      </c>
      <c r="F92">
        <v>245</v>
      </c>
      <c r="G92">
        <v>0</v>
      </c>
      <c r="H92">
        <v>0</v>
      </c>
      <c r="I92">
        <v>-245</v>
      </c>
      <c r="J92">
        <v>209</v>
      </c>
      <c r="K92">
        <v>0</v>
      </c>
      <c r="L92">
        <v>-100</v>
      </c>
      <c r="M92" s="1">
        <v>-245</v>
      </c>
      <c r="N92">
        <v>-100</v>
      </c>
      <c r="S92">
        <v>-88</v>
      </c>
      <c r="T92">
        <v>-77</v>
      </c>
      <c r="U92">
        <v>-76</v>
      </c>
      <c r="V92">
        <v>-4</v>
      </c>
    </row>
    <row r="93" spans="1:22" x14ac:dyDescent="0.25">
      <c r="A93">
        <v>5</v>
      </c>
      <c r="B93" t="s">
        <v>31</v>
      </c>
      <c r="C93" t="s">
        <v>32</v>
      </c>
      <c r="D93" t="s">
        <v>24</v>
      </c>
      <c r="E93" t="s">
        <v>33</v>
      </c>
      <c r="F93">
        <v>1295</v>
      </c>
      <c r="G93">
        <v>189</v>
      </c>
      <c r="H93">
        <v>14.59</v>
      </c>
      <c r="I93">
        <v>-394.81</v>
      </c>
      <c r="J93">
        <v>1080</v>
      </c>
      <c r="K93">
        <v>17.5</v>
      </c>
      <c r="L93">
        <v>-30.49</v>
      </c>
      <c r="M93" s="1">
        <v>-275.33999999999997</v>
      </c>
      <c r="N93">
        <v>-21.26</v>
      </c>
      <c r="S93">
        <v>7.71</v>
      </c>
      <c r="T93">
        <v>-189.35</v>
      </c>
      <c r="U93">
        <v>-110.96</v>
      </c>
      <c r="V93">
        <v>17.260000000000002</v>
      </c>
    </row>
    <row r="94" spans="1:22" x14ac:dyDescent="0.25">
      <c r="A94">
        <v>56</v>
      </c>
      <c r="B94" t="s">
        <v>137</v>
      </c>
      <c r="C94" t="s">
        <v>138</v>
      </c>
      <c r="D94" t="s">
        <v>39</v>
      </c>
      <c r="F94">
        <v>2313</v>
      </c>
      <c r="G94">
        <v>98</v>
      </c>
      <c r="H94">
        <v>4.24</v>
      </c>
      <c r="I94">
        <v>-956</v>
      </c>
      <c r="J94">
        <v>1914</v>
      </c>
      <c r="K94">
        <v>5.12</v>
      </c>
      <c r="L94">
        <v>-41.33</v>
      </c>
      <c r="M94" s="1">
        <v>-515.44000000000005</v>
      </c>
      <c r="N94">
        <v>-22.28</v>
      </c>
      <c r="S94">
        <v>34.700000000000003</v>
      </c>
      <c r="T94">
        <v>-257.31</v>
      </c>
      <c r="U94">
        <v>-142.56</v>
      </c>
      <c r="V94">
        <v>-150.27000000000001</v>
      </c>
    </row>
    <row r="97" spans="13:22" x14ac:dyDescent="0.25">
      <c r="M97" s="1">
        <f>SUM(M2:M96)</f>
        <v>4155.6600000000035</v>
      </c>
      <c r="Q97">
        <f>SUM(Q2:Q96)</f>
        <v>241.25</v>
      </c>
      <c r="R97">
        <f>SUM(R2:R96)</f>
        <v>1871.59</v>
      </c>
      <c r="S97">
        <f>SUM(S2:S96)</f>
        <v>-1207.8699999999999</v>
      </c>
      <c r="T97">
        <f>SUM(T2:T96)</f>
        <v>1470.7</v>
      </c>
      <c r="U97">
        <f>SUM(U2:U96)</f>
        <v>-76.590000000000217</v>
      </c>
      <c r="V97">
        <f>SUM(V2:V96)</f>
        <v>1132.2599999999998</v>
      </c>
    </row>
  </sheetData>
  <sortState xmlns:xlrd2="http://schemas.microsoft.com/office/spreadsheetml/2017/richdata2" ref="A2:V94">
    <sortCondition descending="1" ref="M2:M9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noggin4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C</cp:lastModifiedBy>
  <dcterms:created xsi:type="dcterms:W3CDTF">2026-07-31T16:22:55Z</dcterms:created>
  <dcterms:modified xsi:type="dcterms:W3CDTF">2026-08-01T00:02:14Z</dcterms:modified>
</cp:coreProperties>
</file>