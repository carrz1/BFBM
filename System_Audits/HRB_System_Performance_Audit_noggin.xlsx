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ing\AI\GitHub\BFBM\System_Audits\"/>
    </mc:Choice>
  </mc:AlternateContent>
  <xr:revisionPtr revIDLastSave="0" documentId="8_{FC47F342-9DD1-4036-8564-8A9052176751}" xr6:coauthVersionLast="47" xr6:coauthVersionMax="47" xr10:uidLastSave="{00000000-0000-0000-0000-000000000000}"/>
  <bookViews>
    <workbookView xWindow="4080" yWindow="4515" windowWidth="31965" windowHeight="23280" activeTab="1" xr2:uid="{8E679F21-DF7D-49CE-9AB8-79DF91DA9C16}"/>
  </bookViews>
  <sheets>
    <sheet name="HRB_System_Performance_Audit_v2" sheetId="1" r:id="rId1"/>
    <sheet name="HRB_System_Performance_Audi (2)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0" i="2" l="1"/>
</calcChain>
</file>

<file path=xl/sharedStrings.xml><?xml version="1.0" encoding="utf-8"?>
<sst xmlns="http://schemas.openxmlformats.org/spreadsheetml/2006/main" count="745" uniqueCount="280">
  <si>
    <t>Slot</t>
  </si>
  <si>
    <t>System Name</t>
  </si>
  <si>
    <t>Saved Date</t>
  </si>
  <si>
    <t>Since Date (Saved+1)</t>
  </si>
  <si>
    <t>Odds Band (BFSP) Applied</t>
  </si>
  <si>
    <t>Odds Parsing Note</t>
  </si>
  <si>
    <t>Status</t>
  </si>
  <si>
    <t>Bets</t>
  </si>
  <si>
    <t>Wins</t>
  </si>
  <si>
    <t>Win%</t>
  </si>
  <si>
    <t>P/L(SP)</t>
  </si>
  <si>
    <t>Races</t>
  </si>
  <si>
    <t>Race%</t>
  </si>
  <si>
    <t>ROI(SP)%</t>
  </si>
  <si>
    <t>P/L(BF)</t>
  </si>
  <si>
    <t>ROI(BF)%</t>
  </si>
  <si>
    <t>P/L by Year (BF)</t>
  </si>
  <si>
    <t>2024 7YOs BASE 2024</t>
  </si>
  <si>
    <t>10.06.2024</t>
  </si>
  <si>
    <t>none</t>
  </si>
  <si>
    <t>Done</t>
  </si>
  <si>
    <t>2024: 40.97; 2025: 61.98; 2026: -35</t>
  </si>
  <si>
    <t>7YO 8YO FLAT - NH LTO</t>
  </si>
  <si>
    <t>30.04.2021</t>
  </si>
  <si>
    <t>2021: -19.03; 2022: 16.55; 2023: 0.48; 2024: 185.37; 2025: -21.14; 2026: 38.76</t>
  </si>
  <si>
    <t>7YO 1 RUN Season HDGR</t>
  </si>
  <si>
    <t>17.11.2021</t>
  </si>
  <si>
    <t>2022: -12.73; 2023: -19; 2024: 38.39; 2025: -14.3; 2026: -5</t>
  </si>
  <si>
    <t>7YO 1 RUN Season NO HDGR</t>
  </si>
  <si>
    <t>2022: -3; 2023: 10.07; 2024: -9; 2025: -7; 2026: -2</t>
  </si>
  <si>
    <t>2021 7YOs BASE 2021</t>
  </si>
  <si>
    <t>18.05.2021</t>
  </si>
  <si>
    <t>2021: -7.62; 2022: -57.67; 2023: -25.72; 2024: 86.81; 2025: 33.23; 2026: -29</t>
  </si>
  <si>
    <t>4YO HDGR FT</t>
  </si>
  <si>
    <t>3.07.2021</t>
  </si>
  <si>
    <t>2021: 27.8; 2022: -3.73; 2023: 2.09; 2024: -11.81; 2025: -21.02; 2026: 3.7</t>
  </si>
  <si>
    <t>7YO FLAT part 1A not GB</t>
  </si>
  <si>
    <t>24.04.2021</t>
  </si>
  <si>
    <t>2021: 60.48; 2022: 48.83; 2023: 44.88; 2024: -9.73; 2025: -15.85; 2026: 6.82</t>
  </si>
  <si>
    <t>7YO FLAT part 1B Strts LTO</t>
  </si>
  <si>
    <t>26.04.2021</t>
  </si>
  <si>
    <t>2021: 27.45; 2022: -7; 2023: -6; 2024: -11; 2025: 5.36; 2026: -6</t>
  </si>
  <si>
    <t>SS HDGRdiff JAN-APRIL 8.01 - 1000.00</t>
  </si>
  <si>
    <t>3.03.2025</t>
  </si>
  <si>
    <t>8.01 - 1000.00</t>
  </si>
  <si>
    <t>2025: 51.81; 2026: 129.37</t>
  </si>
  <si>
    <t>SS MM NH PUNCHESTOWN 8.01 - 100.00 MM</t>
  </si>
  <si>
    <t>30.01.2024</t>
  </si>
  <si>
    <t>8.01 - 100.00</t>
  </si>
  <si>
    <t>2024: 47.18; 2025: 12.84; 2026: 5.37</t>
  </si>
  <si>
    <t>SS MM HDGRdiff GB NH AW clss5and6 5.51 - 100.00</t>
  </si>
  <si>
    <t>23.01.2026</t>
  </si>
  <si>
    <t>5.51 - 100.00</t>
  </si>
  <si>
    <t>NH D&amp;G All BSPs</t>
  </si>
  <si>
    <t>11.02.2024</t>
  </si>
  <si>
    <t>name says All BSPs = unrestricted</t>
  </si>
  <si>
    <t>2024: 128.72; 2025: 61.83; 2026: -44.03</t>
  </si>
  <si>
    <t>4YO FMs JUNE</t>
  </si>
  <si>
    <t>1.06.2021</t>
  </si>
  <si>
    <t>2021: 50.57; 2022: 13.57; 2023: -10.73; 2024: -22.31; 2025: 2.62; 2026: -20.24</t>
  </si>
  <si>
    <t>SS 1 MILE STR HDGRdiff 6.51 - 1000.00</t>
  </si>
  <si>
    <t>23.05.2026</t>
  </si>
  <si>
    <t>6.51 - 1000.00</t>
  </si>
  <si>
    <t>SS SouthwellAW 7f</t>
  </si>
  <si>
    <t>19.12.2024</t>
  </si>
  <si>
    <t>2024: -1; 2025: 68.76; 2026: -39.95</t>
  </si>
  <si>
    <t>7YO FLAT Aug - Nov</t>
  </si>
  <si>
    <t>31.08.2023</t>
  </si>
  <si>
    <t>2023: -3.24; 2024: -23.93; 2025: 57.9</t>
  </si>
  <si>
    <t>GELDED 7.01 - 65.00</t>
  </si>
  <si>
    <t>11.12.2023</t>
  </si>
  <si>
    <t>7.01 - 65.00</t>
  </si>
  <si>
    <t>2024: 136.59; 2025: 66.09; 2026: -64.56</t>
  </si>
  <si>
    <t>HDGRdiff JULY 14.01-400.00</t>
  </si>
  <si>
    <t>23.07.2026</t>
  </si>
  <si>
    <t>14.01 - 400.00</t>
  </si>
  <si>
    <t>2026: -59.79</t>
  </si>
  <si>
    <t>SS 4YO GELDED 12.01-1000.00</t>
  </si>
  <si>
    <t>12.01 - 1000.00</t>
  </si>
  <si>
    <t>2026: -2.27</t>
  </si>
  <si>
    <t>7YOs AW LTO LL</t>
  </si>
  <si>
    <t>14.04.2019</t>
  </si>
  <si>
    <t>2019: 175.82; 2020: 89.59; 2021: 20.32; 2022: -31.91; 2023: 5.96; 2024: 34.29; 2025: 27.84; 2026: -28.91</t>
  </si>
  <si>
    <t>SS Hurdle HDGRdiff DSLRs x2</t>
  </si>
  <si>
    <t>18.10.2022</t>
  </si>
  <si>
    <t>2022: -3; 2023: 29.57; 2024: -23.22; 2025: -38.5; 2026: 9.64</t>
  </si>
  <si>
    <t>SS 4YO 5F 5.5F 9.01 - 1000.00</t>
  </si>
  <si>
    <t>27.06.2022</t>
  </si>
  <si>
    <t>9.01 - 1000.00</t>
  </si>
  <si>
    <t>2022: 41.02; 2023: 14.64; 2024: 120.59; 2025: 22.87; 2026: -9</t>
  </si>
  <si>
    <t>MM IRISH NH 9.01 - 200.00</t>
  </si>
  <si>
    <t>4.08.2025</t>
  </si>
  <si>
    <t>9.01 - 200.00</t>
  </si>
  <si>
    <t>2025: -33.64; 2026: -123.71</t>
  </si>
  <si>
    <t>SS MM NH 6-36 RUNS 12.01 - 300.00</t>
  </si>
  <si>
    <t>6.01.2024</t>
  </si>
  <si>
    <t>12.01 - 300.00</t>
  </si>
  <si>
    <t>2024: -25.78; 2025: 57.72; 2026: -58.68</t>
  </si>
  <si>
    <t>ssBATH HDGRdiff 8.01 - 150.00</t>
  </si>
  <si>
    <t>16.09.2023</t>
  </si>
  <si>
    <t>8.01 - 150.00</t>
  </si>
  <si>
    <t>2023: 31.1; 2024: -16.85; 2025: -22; 2026: 50.97</t>
  </si>
  <si>
    <t>SS MM DUNDALK MM 2.01 - 100.00</t>
  </si>
  <si>
    <t>9.02.2024</t>
  </si>
  <si>
    <t>2.01 - 100.00</t>
  </si>
  <si>
    <t>2024: 2.2; 2025: 31.14; 2026: 9.44</t>
  </si>
  <si>
    <t>SS MM AW 5f 6f MM all BSPs</t>
  </si>
  <si>
    <t>16.01.2024</t>
  </si>
  <si>
    <t>name says all BSPs = unrestricted</t>
  </si>
  <si>
    <t>2024: -18.93; 2025: 13.9; 2026: -8.19</t>
  </si>
  <si>
    <t>7YO FLAT 0 or 1 runs season</t>
  </si>
  <si>
    <t>12.07.2021</t>
  </si>
  <si>
    <t>2022: -26.58; 2023: -39.95; 2024: -21.25; 2025: 151.04; 2026: -78.83</t>
  </si>
  <si>
    <t>SS AW BLINKRS 10.01 - 80.00</t>
  </si>
  <si>
    <t>8.02.2024</t>
  </si>
  <si>
    <t>10.01 - 80.00</t>
  </si>
  <si>
    <t>2024: -77.52; 2025: -7.47; 2026: -27.39</t>
  </si>
  <si>
    <t>SS TURF 4YO 7furlongs v1</t>
  </si>
  <si>
    <t>6.06.2022</t>
  </si>
  <si>
    <t>2022: -1.24; 2023: 95.71; 2024: -17.83; 2025: 5.15; 2026: -8.38</t>
  </si>
  <si>
    <t>SS Ed WALKER 1 LH DSLR</t>
  </si>
  <si>
    <t>4.08.2023</t>
  </si>
  <si>
    <t>2023: -1; 2024: 12.87; 2025: 3.72; 2026: -2.26</t>
  </si>
  <si>
    <t>SS Ed WALKER 2 STRTs</t>
  </si>
  <si>
    <t>2023: 6.2; 2024: 43.9; 2025: -26; 2026: 5.89</t>
  </si>
  <si>
    <t>SS 4YO STRAIGHTS all BSPs Jan-June</t>
  </si>
  <si>
    <t>14.07.2023</t>
  </si>
  <si>
    <t>2024: 251.8; 2025: 220.41; 2026: -17.78</t>
  </si>
  <si>
    <t>SS FLAT 6YO-8YO May-July All BSPs</t>
  </si>
  <si>
    <t>16.06.2026</t>
  </si>
  <si>
    <t>2026: -29.58</t>
  </si>
  <si>
    <t>SS RYAN K</t>
  </si>
  <si>
    <t>10.04.2023</t>
  </si>
  <si>
    <t>2023: 14.35; 2024: 5.32; 2025: -24; 2026: -11</t>
  </si>
  <si>
    <t>SS AW LTO WLTO 3YO-7YO v1</t>
  </si>
  <si>
    <t>27.01.2022</t>
  </si>
  <si>
    <t>2022: 24.81; 2023: 13.19; 2024: 0.37; 2025: 69.21; 2026: -14.26</t>
  </si>
  <si>
    <t>TURF 5lb 7lb JOCK MAY AUG SEP</t>
  </si>
  <si>
    <t>16.05.2021</t>
  </si>
  <si>
    <t>2021: 5.59; 2022: 23.81; 2023: -14.61; 2024: 0.97; 2025: -4.28; 2026: 73.94</t>
  </si>
  <si>
    <t>MM SS NH Basic MM 4.01 - 12.00</t>
  </si>
  <si>
    <t>11.01.2024</t>
  </si>
  <si>
    <t>4.01 - 12.00</t>
  </si>
  <si>
    <t>2024: -12.06; 2025: -29.4; 2026: -1.61</t>
  </si>
  <si>
    <t>TURF 6YO FMs MAY</t>
  </si>
  <si>
    <t>15.05.2021</t>
  </si>
  <si>
    <t>2021: 10.1; 2022: 3.94; 2023: -1.9; 2024: 2.23; 2025: -6.74; 2026: 9.81</t>
  </si>
  <si>
    <t>4YO STRAIGHTS</t>
  </si>
  <si>
    <t>8.01.2019</t>
  </si>
  <si>
    <t>2019: -7.23; 2020: 47.44; 2021: 123.11; 2022: 972.87; 2023: 276.22; 2024: 245.64; 2025: -149.77; 2026: -163.77</t>
  </si>
  <si>
    <t>SS Ed WALKER 3 STRTs not 6f</t>
  </si>
  <si>
    <t>2023: -4.18; 2024: 32.62; 2025: -40.32; 2026: 15.1</t>
  </si>
  <si>
    <t>AW LTO WLTO 3YO-7YO</t>
  </si>
  <si>
    <t>7.02.2019</t>
  </si>
  <si>
    <t>2019: -18.71; 2020: 107.99; 2021: -24.07; 2022: 38.05; 2023: 21.65; 2024: 20.51; 2025: 85.07; 2026: 13.08</t>
  </si>
  <si>
    <t>TURF 6YO FMs MAY v2</t>
  </si>
  <si>
    <t>2021: 6.22; 2022: -11.3; 2023: 18.91; 2024: -14; 2025: 0.17; 2026: -7</t>
  </si>
  <si>
    <t>SS MM NH Class 5 6 UK only All BSPs MM</t>
  </si>
  <si>
    <t>15.01.2024</t>
  </si>
  <si>
    <t>2024: 4.92; 2025: 10.67; 2026: 55.91</t>
  </si>
  <si>
    <t>FIRST RUN NEW TRAINER ALL BSPs</t>
  </si>
  <si>
    <t>20.03.2025</t>
  </si>
  <si>
    <t>name says ALL BSPs = unrestricted</t>
  </si>
  <si>
    <t>2025: 147.64; 2026: -84.45</t>
  </si>
  <si>
    <t>MM MUSSELBRUGH 2.01 - 60.00</t>
  </si>
  <si>
    <t>18.02.2024</t>
  </si>
  <si>
    <t>2.01 - 60.00</t>
  </si>
  <si>
    <t>2024: -14; 2025: -22.84; 2026: 12.24</t>
  </si>
  <si>
    <t>6YO FIRST RUN SEASON</t>
  </si>
  <si>
    <t>3.05.2021</t>
  </si>
  <si>
    <t>2021: -19.7; 2022: 14.98; 2023: 8.26; 2024: 22.96; 2025: -9.97; 2026: -51</t>
  </si>
  <si>
    <t>4YO STRAIGHTS 0 DIST WINS</t>
  </si>
  <si>
    <t>30.01.2019</t>
  </si>
  <si>
    <t>2019: -11.95; 2020: 72.25; 2021: 37.37; 2022: 17.89; 2023: -38.9; 2024: 23.65; 2025: -39.75; 2026: -50.5</t>
  </si>
  <si>
    <t>5YO FIRST RUN SEASON</t>
  </si>
  <si>
    <t>2021: 22.75; 2022: 45.19; 2023: 16.25; 2024: -9.78; 2025: -9.59; 2026: 18.53</t>
  </si>
  <si>
    <t>MM NH EXETER 5.01 - 300.00 MM</t>
  </si>
  <si>
    <t>31.01.2024</t>
  </si>
  <si>
    <t>5.01 - 300.00</t>
  </si>
  <si>
    <t>2024: 11.08; 2025: -13.81; 2026: 5.15</t>
  </si>
  <si>
    <t>NEWTONclaude</t>
  </si>
  <si>
    <t>7.05.2026</t>
  </si>
  <si>
    <t>2026: 305.75</t>
  </si>
  <si>
    <t>4YO LL HDGR</t>
  </si>
  <si>
    <t>2021: 25.95; 2022: -19; 2023: -24; 2024: 95; 2025: -21.82; 2026: -18</t>
  </si>
  <si>
    <t>SS MM NH 10yo 2.01 - 35.00</t>
  </si>
  <si>
    <t>7.01.2024</t>
  </si>
  <si>
    <t>2.01 - 35.00</t>
  </si>
  <si>
    <t>2024: -23; 2025: 1.29; 2026: 4.14</t>
  </si>
  <si>
    <t>SS FT HCP 6f-7f 26.01 - 1000.00</t>
  </si>
  <si>
    <t>2.09.2024</t>
  </si>
  <si>
    <t>26.01 - 1000.00</t>
  </si>
  <si>
    <t>2024: -18.5; 2025: 62.2; 2026: 21.33</t>
  </si>
  <si>
    <t>SS AW 6f 7f HDGR DIFF 3.01 - 150.00</t>
  </si>
  <si>
    <t>7.02.2024</t>
  </si>
  <si>
    <t>3.01 - 150.00</t>
  </si>
  <si>
    <t>2024: -95.8; 2025: 75.39; 2026: -56.77</t>
  </si>
  <si>
    <t>8YO 9YO 18.01 - 1000.00</t>
  </si>
  <si>
    <t>13.04.2021</t>
  </si>
  <si>
    <t>18.01 - 1000.00</t>
  </si>
  <si>
    <t>PENDING - blocked by HRB System Builder rate limit (resume after ~31 Jul 2026 11:44)</t>
  </si>
  <si>
    <t>1m2f - 2m.5f hood blinkers</t>
  </si>
  <si>
    <t>ss DoncSTR 4YOs</t>
  </si>
  <si>
    <t>15.09.2023</t>
  </si>
  <si>
    <t>John P McManus max30.00</t>
  </si>
  <si>
    <t>22.02.2026</t>
  </si>
  <si>
    <t>1.01 - 30.00</t>
  </si>
  <si>
    <t>max-only in name; min defaulted to 1.01</t>
  </si>
  <si>
    <t>5YO 6f AUTUMN FMs</t>
  </si>
  <si>
    <t>FIRST RUN OF SEASON</t>
  </si>
  <si>
    <t>25.04.2021</t>
  </si>
  <si>
    <t>5YO 6f AUTUMN</t>
  </si>
  <si>
    <t>13.09.2012</t>
  </si>
  <si>
    <t>SS AW WON HIGHER CLASS 8.01-1000.00</t>
  </si>
  <si>
    <t>2.02.2025</t>
  </si>
  <si>
    <t>SS NH C WINNER 30.01 - 1000.00</t>
  </si>
  <si>
    <t>2.10.2025</t>
  </si>
  <si>
    <t>30.01 - 1000.00</t>
  </si>
  <si>
    <t>SSGB 4YOs TURF 12.01 - 1000.00</t>
  </si>
  <si>
    <t>20.10.2025</t>
  </si>
  <si>
    <t>ROYAL ASCOT GB 31 plus DSLR</t>
  </si>
  <si>
    <t>18.06.2021</t>
  </si>
  <si>
    <t>SS MM NAAS 3.01 - 100.00 MM</t>
  </si>
  <si>
    <t>26.02.2024</t>
  </si>
  <si>
    <t>3.01 - 100.00</t>
  </si>
  <si>
    <t>ROYAL ASCOT GB 31 plus DSLR v2</t>
  </si>
  <si>
    <t>SS Williams I</t>
  </si>
  <si>
    <t>13.05.2023</t>
  </si>
  <si>
    <t>EBOR GB 8.01 PLUS</t>
  </si>
  <si>
    <t>18.08.2021</t>
  </si>
  <si>
    <t>min-only (PLUS) in name; max defaulted to 1000.00</t>
  </si>
  <si>
    <t>MM NH 0-7 runs HDGR 4.01 - 1000</t>
  </si>
  <si>
    <t>4.01 - 1000.00</t>
  </si>
  <si>
    <t>ROYAL ASCOT GB 12 - 20 DSLR</t>
  </si>
  <si>
    <t>NH HDGRDiff 6.01 - 1000.00 CHP and NONE</t>
  </si>
  <si>
    <t>9.07.2024</t>
  </si>
  <si>
    <t>6.01 - 1000.00</t>
  </si>
  <si>
    <t>ssDonc 5f-6.5f 4.51 - 8.00</t>
  </si>
  <si>
    <t>4.51 - 8.00</t>
  </si>
  <si>
    <t>MM</t>
  </si>
  <si>
    <t>20.05.2025</t>
  </si>
  <si>
    <t>SS SouthwellAW 8f - 12f</t>
  </si>
  <si>
    <t>ss HDGRdiff IRE horses SPRING all BSPs</t>
  </si>
  <si>
    <t>23.09.2023</t>
  </si>
  <si>
    <t>MSS MM LUDLOW MM 7.01 - 100.00</t>
  </si>
  <si>
    <t>21.02.2024</t>
  </si>
  <si>
    <t>7.01 - 100.00</t>
  </si>
  <si>
    <t>MM NH CARLISLE 2.01 - 100.00</t>
  </si>
  <si>
    <t>19.02.2024</t>
  </si>
  <si>
    <t>MM NH FONTWELL MM 2.51 - 300.00</t>
  </si>
  <si>
    <t>28.01.2024</t>
  </si>
  <si>
    <t>2.51 - 300.00</t>
  </si>
  <si>
    <t>SS HDGRdiff 80.01 - 250.00</t>
  </si>
  <si>
    <t>9.03.2025</t>
  </si>
  <si>
    <t>80.01 - 250.00</t>
  </si>
  <si>
    <t>MM AW SOUTHWELL 7.01 - 50.00 MM</t>
  </si>
  <si>
    <t>7.01 - 50.00</t>
  </si>
  <si>
    <t>STRAIGHT HDGR 4YO</t>
  </si>
  <si>
    <t>21.05.2018</t>
  </si>
  <si>
    <t>SS 4YO STRAIGHTS Turf All BSPs</t>
  </si>
  <si>
    <t>13.01.2023</t>
  </si>
  <si>
    <t>MM 9.01 - 200 NH and AW</t>
  </si>
  <si>
    <t>1.11.2025</t>
  </si>
  <si>
    <t>IRISH FLAT FM 10.01 - 200.00</t>
  </si>
  <si>
    <t>10.01 - 200.00</t>
  </si>
  <si>
    <t>SS STRTs DRAW Q1 Q4 10.01 - 1000.00</t>
  </si>
  <si>
    <t>8.10.2023</t>
  </si>
  <si>
    <t>10.01 - 1000.00</t>
  </si>
  <si>
    <t>IRISH FLAT FM v1 11.01 - 200.00</t>
  </si>
  <si>
    <t>17.05.2026</t>
  </si>
  <si>
    <t>11.01 - 200.00</t>
  </si>
  <si>
    <t>MM NH 10.01 - 80.00</t>
  </si>
  <si>
    <t>MM IRISH FLAT 6.01 -200.00 HDGR max 40.00</t>
  </si>
  <si>
    <t>6.01 - 200.00</t>
  </si>
  <si>
    <t>second number 'HDGR max 40.00' unclear, NOT applied - flagged</t>
  </si>
  <si>
    <t>SS HDGRdiff STRTs 7.01 - 500.00</t>
  </si>
  <si>
    <t>27.07.2024</t>
  </si>
  <si>
    <t>7.01 - 500.00</t>
  </si>
  <si>
    <t>DD CLASS DOWN v1</t>
  </si>
  <si>
    <t>20.08.2021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</si>
</sst>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157B-3CDA-4203-8FC7-5B5488C67849}">
  <dimension ref="A1:Q93"/>
  <sheetViews>
    <sheetView workbookViewId="0">
      <selection activeCell="F5" sqref="F5"/>
    </sheetView>
  </sheetViews>
  <sheetFormatPr defaultRowHeight="15" x14ac:dyDescent="0.25"/>
  <cols>
    <col min="2" max="2" width="26.42578125" customWidth="1"/>
    <col min="3" max="3" width="12.7109375" customWidth="1"/>
    <col min="4" max="4" width="11.140625" customWidth="1"/>
    <col min="5" max="5" width="14.85546875" customWidth="1"/>
    <col min="16" max="16" width="15.28515625" customWidth="1"/>
    <col min="17" max="17" width="53.5703125" customWidth="1"/>
    <col min="18" max="18" width="82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t="s">
        <v>18</v>
      </c>
      <c r="D2" s="1">
        <v>45454</v>
      </c>
      <c r="E2" t="s">
        <v>19</v>
      </c>
      <c r="G2" t="s">
        <v>20</v>
      </c>
      <c r="H2">
        <v>230</v>
      </c>
      <c r="I2">
        <v>18</v>
      </c>
      <c r="J2">
        <v>7.83</v>
      </c>
      <c r="K2">
        <v>9.33</v>
      </c>
      <c r="L2">
        <v>195</v>
      </c>
      <c r="M2">
        <v>9.23</v>
      </c>
      <c r="N2">
        <v>4.0599999999999996</v>
      </c>
      <c r="O2">
        <v>67.95</v>
      </c>
      <c r="P2">
        <v>29.54</v>
      </c>
      <c r="Q2" t="s">
        <v>21</v>
      </c>
    </row>
    <row r="3" spans="1:17" x14ac:dyDescent="0.25">
      <c r="A3">
        <v>2</v>
      </c>
      <c r="B3" t="s">
        <v>22</v>
      </c>
      <c r="C3" t="s">
        <v>23</v>
      </c>
      <c r="D3" s="1">
        <v>44317</v>
      </c>
      <c r="E3" t="s">
        <v>19</v>
      </c>
      <c r="G3" t="s">
        <v>20</v>
      </c>
      <c r="H3">
        <v>188</v>
      </c>
      <c r="I3">
        <v>19</v>
      </c>
      <c r="J3">
        <v>10.11</v>
      </c>
      <c r="K3">
        <v>102.07</v>
      </c>
      <c r="L3">
        <v>176</v>
      </c>
      <c r="M3">
        <v>10.8</v>
      </c>
      <c r="N3">
        <v>54.29</v>
      </c>
      <c r="O3">
        <v>201</v>
      </c>
      <c r="P3">
        <v>106.91</v>
      </c>
      <c r="Q3" t="s">
        <v>24</v>
      </c>
    </row>
    <row r="4" spans="1:17" x14ac:dyDescent="0.25">
      <c r="A4">
        <v>3</v>
      </c>
      <c r="B4" t="s">
        <v>25</v>
      </c>
      <c r="C4" t="s">
        <v>26</v>
      </c>
      <c r="D4" s="1">
        <v>44518</v>
      </c>
      <c r="E4" t="s">
        <v>19</v>
      </c>
      <c r="G4" t="s">
        <v>20</v>
      </c>
      <c r="H4">
        <v>103</v>
      </c>
      <c r="I4">
        <v>8</v>
      </c>
      <c r="J4">
        <v>7.77</v>
      </c>
      <c r="K4">
        <v>-27</v>
      </c>
      <c r="L4">
        <v>99</v>
      </c>
      <c r="M4">
        <v>8.08</v>
      </c>
      <c r="N4">
        <v>-26.21</v>
      </c>
      <c r="O4">
        <v>-12.63</v>
      </c>
      <c r="P4">
        <v>-12.26</v>
      </c>
      <c r="Q4" t="s">
        <v>27</v>
      </c>
    </row>
    <row r="5" spans="1:17" x14ac:dyDescent="0.25">
      <c r="A5">
        <v>4</v>
      </c>
      <c r="B5" t="s">
        <v>28</v>
      </c>
      <c r="C5" t="s">
        <v>26</v>
      </c>
      <c r="D5" s="1">
        <v>44518</v>
      </c>
      <c r="E5" t="s">
        <v>19</v>
      </c>
      <c r="G5" t="s">
        <v>20</v>
      </c>
      <c r="H5">
        <v>26</v>
      </c>
      <c r="I5">
        <v>2</v>
      </c>
      <c r="J5">
        <v>7.69</v>
      </c>
      <c r="K5">
        <v>-12.5</v>
      </c>
      <c r="L5">
        <v>26</v>
      </c>
      <c r="M5">
        <v>7.69</v>
      </c>
      <c r="N5">
        <v>-48.08</v>
      </c>
      <c r="O5">
        <v>-10.93</v>
      </c>
      <c r="P5">
        <v>-42.03</v>
      </c>
      <c r="Q5" t="s">
        <v>29</v>
      </c>
    </row>
    <row r="6" spans="1:17" x14ac:dyDescent="0.25">
      <c r="A6">
        <v>5</v>
      </c>
      <c r="B6" t="s">
        <v>30</v>
      </c>
      <c r="C6" t="s">
        <v>31</v>
      </c>
      <c r="D6" s="1">
        <v>44335</v>
      </c>
      <c r="E6" t="s">
        <v>19</v>
      </c>
      <c r="G6" t="s">
        <v>20</v>
      </c>
      <c r="H6">
        <v>500</v>
      </c>
      <c r="I6">
        <v>34</v>
      </c>
      <c r="J6">
        <v>6.8</v>
      </c>
      <c r="K6">
        <v>-97.04</v>
      </c>
      <c r="L6">
        <v>427</v>
      </c>
      <c r="M6">
        <v>7.96</v>
      </c>
      <c r="N6">
        <v>-19.41</v>
      </c>
      <c r="O6">
        <v>0.02</v>
      </c>
      <c r="P6">
        <v>0</v>
      </c>
      <c r="Q6" t="s">
        <v>32</v>
      </c>
    </row>
    <row r="7" spans="1:17" x14ac:dyDescent="0.25">
      <c r="A7">
        <v>6</v>
      </c>
      <c r="B7" t="s">
        <v>33</v>
      </c>
      <c r="C7" t="s">
        <v>34</v>
      </c>
      <c r="D7" s="1">
        <v>44381</v>
      </c>
      <c r="E7" t="s">
        <v>19</v>
      </c>
      <c r="G7" t="s">
        <v>20</v>
      </c>
      <c r="H7">
        <v>271</v>
      </c>
      <c r="I7">
        <v>26</v>
      </c>
      <c r="J7">
        <v>9.59</v>
      </c>
      <c r="K7">
        <v>-45.84</v>
      </c>
      <c r="L7">
        <v>257</v>
      </c>
      <c r="M7">
        <v>10.119999999999999</v>
      </c>
      <c r="N7">
        <v>-16.920000000000002</v>
      </c>
      <c r="O7">
        <v>-2.97</v>
      </c>
      <c r="P7">
        <v>-1.1000000000000001</v>
      </c>
      <c r="Q7" t="s">
        <v>35</v>
      </c>
    </row>
    <row r="8" spans="1:17" x14ac:dyDescent="0.25">
      <c r="A8">
        <v>7</v>
      </c>
      <c r="B8" t="s">
        <v>36</v>
      </c>
      <c r="C8" t="s">
        <v>37</v>
      </c>
      <c r="D8" s="1">
        <v>44311</v>
      </c>
      <c r="E8" t="s">
        <v>19</v>
      </c>
      <c r="G8" t="s">
        <v>20</v>
      </c>
      <c r="H8">
        <v>245</v>
      </c>
      <c r="I8">
        <v>27</v>
      </c>
      <c r="J8">
        <v>11.02</v>
      </c>
      <c r="K8">
        <v>45.71</v>
      </c>
      <c r="L8">
        <v>238</v>
      </c>
      <c r="M8">
        <v>11.34</v>
      </c>
      <c r="N8">
        <v>18.66</v>
      </c>
      <c r="O8">
        <v>135.43</v>
      </c>
      <c r="P8">
        <v>55.28</v>
      </c>
      <c r="Q8" t="s">
        <v>38</v>
      </c>
    </row>
    <row r="9" spans="1:17" x14ac:dyDescent="0.25">
      <c r="A9">
        <v>8</v>
      </c>
      <c r="B9" t="s">
        <v>39</v>
      </c>
      <c r="C9" t="s">
        <v>40</v>
      </c>
      <c r="D9" s="1">
        <v>44313</v>
      </c>
      <c r="E9" t="s">
        <v>19</v>
      </c>
      <c r="G9" t="s">
        <v>20</v>
      </c>
      <c r="H9">
        <v>37</v>
      </c>
      <c r="I9">
        <v>2</v>
      </c>
      <c r="J9">
        <v>5.41</v>
      </c>
      <c r="K9">
        <v>-6</v>
      </c>
      <c r="L9">
        <v>35</v>
      </c>
      <c r="M9">
        <v>5.71</v>
      </c>
      <c r="N9">
        <v>-16.22</v>
      </c>
      <c r="O9">
        <v>2.81</v>
      </c>
      <c r="P9">
        <v>7.59</v>
      </c>
      <c r="Q9" t="s">
        <v>41</v>
      </c>
    </row>
    <row r="10" spans="1:17" x14ac:dyDescent="0.25">
      <c r="A10">
        <v>9</v>
      </c>
      <c r="B10" t="s">
        <v>42</v>
      </c>
      <c r="C10" t="s">
        <v>43</v>
      </c>
      <c r="D10" s="1">
        <v>45720</v>
      </c>
      <c r="E10" t="s">
        <v>44</v>
      </c>
      <c r="G10" t="s">
        <v>20</v>
      </c>
      <c r="H10">
        <v>211</v>
      </c>
      <c r="I10">
        <v>14</v>
      </c>
      <c r="J10">
        <v>6.64</v>
      </c>
      <c r="K10">
        <v>54.5</v>
      </c>
      <c r="L10">
        <v>157</v>
      </c>
      <c r="M10">
        <v>8.92</v>
      </c>
      <c r="N10">
        <v>25.83</v>
      </c>
      <c r="O10">
        <v>181.18</v>
      </c>
      <c r="P10">
        <v>85.87</v>
      </c>
      <c r="Q10" t="s">
        <v>45</v>
      </c>
    </row>
    <row r="11" spans="1:17" x14ac:dyDescent="0.25">
      <c r="A11">
        <v>10</v>
      </c>
      <c r="B11" t="s">
        <v>46</v>
      </c>
      <c r="C11" t="s">
        <v>47</v>
      </c>
      <c r="D11" s="1">
        <v>45322</v>
      </c>
      <c r="E11" t="s">
        <v>48</v>
      </c>
      <c r="G11" t="s">
        <v>20</v>
      </c>
      <c r="H11">
        <v>98</v>
      </c>
      <c r="I11">
        <v>8</v>
      </c>
      <c r="J11">
        <v>8.16</v>
      </c>
      <c r="K11">
        <v>20</v>
      </c>
      <c r="L11">
        <v>83</v>
      </c>
      <c r="M11">
        <v>9.64</v>
      </c>
      <c r="N11">
        <v>20.41</v>
      </c>
      <c r="O11">
        <v>65.38</v>
      </c>
      <c r="P11">
        <v>66.72</v>
      </c>
      <c r="Q11" t="s">
        <v>49</v>
      </c>
    </row>
    <row r="12" spans="1:17" x14ac:dyDescent="0.25">
      <c r="A12">
        <v>11</v>
      </c>
      <c r="B12" t="s">
        <v>50</v>
      </c>
      <c r="C12" t="s">
        <v>51</v>
      </c>
      <c r="D12" s="1">
        <v>46046</v>
      </c>
      <c r="E12" t="s">
        <v>52</v>
      </c>
      <c r="G12" t="s">
        <v>20</v>
      </c>
      <c r="H12">
        <v>161</v>
      </c>
      <c r="I12">
        <v>15</v>
      </c>
      <c r="J12">
        <v>9.32</v>
      </c>
      <c r="K12">
        <v>-14.5</v>
      </c>
      <c r="L12">
        <v>152</v>
      </c>
      <c r="M12">
        <v>9.8699999999999992</v>
      </c>
      <c r="N12">
        <v>-9.01</v>
      </c>
      <c r="O12">
        <v>20.53</v>
      </c>
      <c r="P12">
        <v>12.75</v>
      </c>
      <c r="Q12" s="2">
        <v>1.4071820601851852</v>
      </c>
    </row>
    <row r="13" spans="1:17" x14ac:dyDescent="0.25">
      <c r="A13">
        <v>12</v>
      </c>
      <c r="B13" t="s">
        <v>53</v>
      </c>
      <c r="C13" t="s">
        <v>54</v>
      </c>
      <c r="D13" s="1">
        <v>45334</v>
      </c>
      <c r="E13" t="s">
        <v>19</v>
      </c>
      <c r="F13" t="s">
        <v>55</v>
      </c>
      <c r="G13" t="s">
        <v>20</v>
      </c>
      <c r="H13">
        <v>1258</v>
      </c>
      <c r="I13">
        <v>142</v>
      </c>
      <c r="J13">
        <v>11.29</v>
      </c>
      <c r="K13">
        <v>-101.07</v>
      </c>
      <c r="L13">
        <v>982</v>
      </c>
      <c r="M13">
        <v>14.46</v>
      </c>
      <c r="N13">
        <v>-8.0299999999999994</v>
      </c>
      <c r="O13">
        <v>146.52000000000001</v>
      </c>
      <c r="P13">
        <v>11.67</v>
      </c>
      <c r="Q13" t="s">
        <v>56</v>
      </c>
    </row>
    <row r="14" spans="1:17" x14ac:dyDescent="0.25">
      <c r="A14">
        <v>13</v>
      </c>
      <c r="B14" t="s">
        <v>57</v>
      </c>
      <c r="C14" t="s">
        <v>58</v>
      </c>
      <c r="D14" s="1">
        <v>44349</v>
      </c>
      <c r="E14" t="s">
        <v>19</v>
      </c>
      <c r="G14" t="s">
        <v>20</v>
      </c>
      <c r="H14">
        <v>183</v>
      </c>
      <c r="I14">
        <v>14</v>
      </c>
      <c r="J14">
        <v>7.65</v>
      </c>
      <c r="K14">
        <v>-34.75</v>
      </c>
      <c r="L14">
        <v>149</v>
      </c>
      <c r="M14">
        <v>9.4</v>
      </c>
      <c r="N14">
        <v>-18.989999999999998</v>
      </c>
      <c r="O14">
        <v>13.47</v>
      </c>
      <c r="P14">
        <v>7.36</v>
      </c>
      <c r="Q14" t="s">
        <v>59</v>
      </c>
    </row>
    <row r="15" spans="1:17" x14ac:dyDescent="0.25">
      <c r="A15">
        <v>14</v>
      </c>
      <c r="B15" t="s">
        <v>60</v>
      </c>
      <c r="C15" t="s">
        <v>61</v>
      </c>
      <c r="D15" s="1">
        <v>46166</v>
      </c>
      <c r="E15" t="s">
        <v>62</v>
      </c>
      <c r="G15" t="s">
        <v>20</v>
      </c>
      <c r="H15">
        <v>23</v>
      </c>
      <c r="I15">
        <v>4</v>
      </c>
      <c r="J15">
        <v>17.39</v>
      </c>
      <c r="K15">
        <v>18.5</v>
      </c>
      <c r="L15">
        <v>18</v>
      </c>
      <c r="M15">
        <v>22.22</v>
      </c>
      <c r="N15">
        <v>80.430000000000007</v>
      </c>
      <c r="O15">
        <v>28.85</v>
      </c>
      <c r="P15">
        <v>125.44</v>
      </c>
      <c r="Q15" s="2">
        <v>1.4072783564814815</v>
      </c>
    </row>
    <row r="16" spans="1:17" x14ac:dyDescent="0.25">
      <c r="A16">
        <v>15</v>
      </c>
      <c r="B16" t="s">
        <v>63</v>
      </c>
      <c r="C16" t="s">
        <v>64</v>
      </c>
      <c r="D16" s="1">
        <v>45646</v>
      </c>
      <c r="E16" t="s">
        <v>19</v>
      </c>
      <c r="G16" t="s">
        <v>20</v>
      </c>
      <c r="H16">
        <v>179</v>
      </c>
      <c r="I16">
        <v>21</v>
      </c>
      <c r="J16">
        <v>11.73</v>
      </c>
      <c r="K16">
        <v>-6.6</v>
      </c>
      <c r="L16">
        <v>103</v>
      </c>
      <c r="M16">
        <v>20.39</v>
      </c>
      <c r="N16">
        <v>-3.69</v>
      </c>
      <c r="O16">
        <v>27.81</v>
      </c>
      <c r="P16">
        <v>15.54</v>
      </c>
      <c r="Q16" t="s">
        <v>65</v>
      </c>
    </row>
    <row r="17" spans="1:17" x14ac:dyDescent="0.25">
      <c r="A17">
        <v>16</v>
      </c>
      <c r="B17" t="s">
        <v>66</v>
      </c>
      <c r="C17" t="s">
        <v>67</v>
      </c>
      <c r="D17" s="1">
        <v>45170</v>
      </c>
      <c r="E17" t="s">
        <v>19</v>
      </c>
      <c r="G17" t="s">
        <v>20</v>
      </c>
      <c r="H17">
        <v>150</v>
      </c>
      <c r="I17">
        <v>17</v>
      </c>
      <c r="J17">
        <v>11.33</v>
      </c>
      <c r="K17">
        <v>6.11</v>
      </c>
      <c r="L17">
        <v>144</v>
      </c>
      <c r="M17">
        <v>11.81</v>
      </c>
      <c r="N17">
        <v>4.07</v>
      </c>
      <c r="O17">
        <v>30.74</v>
      </c>
      <c r="P17">
        <v>20.49</v>
      </c>
      <c r="Q17" t="s">
        <v>68</v>
      </c>
    </row>
    <row r="18" spans="1:17" x14ac:dyDescent="0.25">
      <c r="A18">
        <v>17</v>
      </c>
      <c r="B18" t="s">
        <v>69</v>
      </c>
      <c r="C18" t="s">
        <v>70</v>
      </c>
      <c r="D18" s="1">
        <v>45272</v>
      </c>
      <c r="E18" t="s">
        <v>71</v>
      </c>
      <c r="G18" t="s">
        <v>20</v>
      </c>
      <c r="H18">
        <v>333</v>
      </c>
      <c r="I18">
        <v>25</v>
      </c>
      <c r="J18">
        <v>7.51</v>
      </c>
      <c r="K18">
        <v>47</v>
      </c>
      <c r="L18">
        <v>277</v>
      </c>
      <c r="M18">
        <v>9.0299999999999994</v>
      </c>
      <c r="N18">
        <v>14.11</v>
      </c>
      <c r="O18">
        <v>138.12</v>
      </c>
      <c r="P18">
        <v>41.48</v>
      </c>
      <c r="Q18" t="s">
        <v>72</v>
      </c>
    </row>
    <row r="19" spans="1:17" x14ac:dyDescent="0.25">
      <c r="A19">
        <v>18</v>
      </c>
      <c r="B19" t="s">
        <v>73</v>
      </c>
      <c r="C19" t="s">
        <v>74</v>
      </c>
      <c r="D19" s="1">
        <v>46227</v>
      </c>
      <c r="E19" t="s">
        <v>75</v>
      </c>
      <c r="G19" t="s">
        <v>20</v>
      </c>
      <c r="H19">
        <v>121</v>
      </c>
      <c r="I19">
        <v>3</v>
      </c>
      <c r="J19">
        <v>2.48</v>
      </c>
      <c r="K19">
        <v>-78</v>
      </c>
      <c r="L19">
        <v>70</v>
      </c>
      <c r="M19">
        <v>4.29</v>
      </c>
      <c r="N19">
        <v>-64.459999999999994</v>
      </c>
      <c r="O19">
        <v>-59.79</v>
      </c>
      <c r="P19">
        <v>-49.42</v>
      </c>
      <c r="Q19" t="s">
        <v>76</v>
      </c>
    </row>
    <row r="20" spans="1:17" x14ac:dyDescent="0.25">
      <c r="A20">
        <v>19</v>
      </c>
      <c r="B20" t="s">
        <v>77</v>
      </c>
      <c r="C20" t="s">
        <v>74</v>
      </c>
      <c r="D20" s="1">
        <v>46227</v>
      </c>
      <c r="E20" t="s">
        <v>78</v>
      </c>
      <c r="G20" t="s">
        <v>20</v>
      </c>
      <c r="H20">
        <v>14</v>
      </c>
      <c r="I20">
        <v>1</v>
      </c>
      <c r="J20">
        <v>7.14</v>
      </c>
      <c r="K20">
        <v>-3</v>
      </c>
      <c r="L20">
        <v>13</v>
      </c>
      <c r="M20">
        <v>7.69</v>
      </c>
      <c r="N20">
        <v>-21.43</v>
      </c>
      <c r="O20">
        <v>-2.27</v>
      </c>
      <c r="P20">
        <v>-16.25</v>
      </c>
      <c r="Q20" t="s">
        <v>79</v>
      </c>
    </row>
    <row r="21" spans="1:17" x14ac:dyDescent="0.25">
      <c r="A21">
        <v>20</v>
      </c>
      <c r="B21" t="s">
        <v>80</v>
      </c>
      <c r="C21" t="s">
        <v>81</v>
      </c>
      <c r="D21" s="1">
        <v>43570</v>
      </c>
      <c r="E21" t="s">
        <v>19</v>
      </c>
      <c r="G21" t="s">
        <v>20</v>
      </c>
      <c r="H21">
        <v>577</v>
      </c>
      <c r="I21">
        <v>46</v>
      </c>
      <c r="J21">
        <v>7.97</v>
      </c>
      <c r="K21">
        <v>18.260000000000002</v>
      </c>
      <c r="L21">
        <v>508</v>
      </c>
      <c r="M21">
        <v>9.06</v>
      </c>
      <c r="N21">
        <v>3.16</v>
      </c>
      <c r="O21">
        <v>292.99</v>
      </c>
      <c r="P21">
        <v>50.78</v>
      </c>
      <c r="Q21" t="s">
        <v>82</v>
      </c>
    </row>
    <row r="22" spans="1:17" x14ac:dyDescent="0.25">
      <c r="A22">
        <v>22</v>
      </c>
      <c r="B22" t="s">
        <v>83</v>
      </c>
      <c r="C22" t="s">
        <v>84</v>
      </c>
      <c r="D22" s="1">
        <v>44853</v>
      </c>
      <c r="E22" t="s">
        <v>19</v>
      </c>
      <c r="G22" t="s">
        <v>20</v>
      </c>
      <c r="H22">
        <v>242</v>
      </c>
      <c r="I22">
        <v>23</v>
      </c>
      <c r="J22">
        <v>9.5</v>
      </c>
      <c r="K22">
        <v>-57.84</v>
      </c>
      <c r="L22">
        <v>235</v>
      </c>
      <c r="M22">
        <v>9.7899999999999991</v>
      </c>
      <c r="N22">
        <v>-23.9</v>
      </c>
      <c r="O22">
        <v>-25.5</v>
      </c>
      <c r="P22">
        <v>-10.54</v>
      </c>
      <c r="Q22" t="s">
        <v>85</v>
      </c>
    </row>
    <row r="23" spans="1:17" x14ac:dyDescent="0.25">
      <c r="A23">
        <v>23</v>
      </c>
      <c r="B23" t="s">
        <v>86</v>
      </c>
      <c r="C23" t="s">
        <v>87</v>
      </c>
      <c r="D23" s="1">
        <v>44740</v>
      </c>
      <c r="E23" t="s">
        <v>88</v>
      </c>
      <c r="G23" t="s">
        <v>20</v>
      </c>
      <c r="H23">
        <v>164</v>
      </c>
      <c r="I23">
        <v>18</v>
      </c>
      <c r="J23">
        <v>10.98</v>
      </c>
      <c r="K23">
        <v>97.5</v>
      </c>
      <c r="L23">
        <v>147</v>
      </c>
      <c r="M23">
        <v>12.24</v>
      </c>
      <c r="N23">
        <v>59.45</v>
      </c>
      <c r="O23">
        <v>190.11</v>
      </c>
      <c r="P23">
        <v>115.92</v>
      </c>
      <c r="Q23" t="s">
        <v>89</v>
      </c>
    </row>
    <row r="24" spans="1:17" x14ac:dyDescent="0.25">
      <c r="A24">
        <v>24</v>
      </c>
      <c r="B24" t="s">
        <v>90</v>
      </c>
      <c r="C24" t="s">
        <v>91</v>
      </c>
      <c r="D24" s="1">
        <v>45874</v>
      </c>
      <c r="E24" t="s">
        <v>92</v>
      </c>
      <c r="G24" t="s">
        <v>20</v>
      </c>
      <c r="H24">
        <v>1293</v>
      </c>
      <c r="I24">
        <v>63</v>
      </c>
      <c r="J24">
        <v>4.87</v>
      </c>
      <c r="K24">
        <v>-465</v>
      </c>
      <c r="L24">
        <v>733</v>
      </c>
      <c r="M24">
        <v>8.59</v>
      </c>
      <c r="N24">
        <v>-35.96</v>
      </c>
      <c r="O24">
        <v>-157.36000000000001</v>
      </c>
      <c r="P24">
        <v>-12.17</v>
      </c>
      <c r="Q24" t="s">
        <v>93</v>
      </c>
    </row>
    <row r="25" spans="1:17" x14ac:dyDescent="0.25">
      <c r="A25">
        <v>25</v>
      </c>
      <c r="B25" t="s">
        <v>94</v>
      </c>
      <c r="C25" t="s">
        <v>95</v>
      </c>
      <c r="D25" s="1">
        <v>45298</v>
      </c>
      <c r="E25" t="s">
        <v>96</v>
      </c>
      <c r="G25" t="s">
        <v>20</v>
      </c>
      <c r="H25">
        <v>1845</v>
      </c>
      <c r="I25">
        <v>90</v>
      </c>
      <c r="J25">
        <v>4.88</v>
      </c>
      <c r="K25">
        <v>-520</v>
      </c>
      <c r="L25">
        <v>1601</v>
      </c>
      <c r="M25">
        <v>5.62</v>
      </c>
      <c r="N25">
        <v>-28.18</v>
      </c>
      <c r="O25">
        <v>-26.73</v>
      </c>
      <c r="P25">
        <v>-1.45</v>
      </c>
      <c r="Q25" t="s">
        <v>97</v>
      </c>
    </row>
    <row r="26" spans="1:17" x14ac:dyDescent="0.25">
      <c r="A26">
        <v>26</v>
      </c>
      <c r="B26" t="s">
        <v>98</v>
      </c>
      <c r="C26" t="s">
        <v>99</v>
      </c>
      <c r="D26" s="1">
        <v>45186</v>
      </c>
      <c r="E26" t="s">
        <v>100</v>
      </c>
      <c r="G26" t="s">
        <v>20</v>
      </c>
      <c r="H26">
        <v>68</v>
      </c>
      <c r="I26">
        <v>4</v>
      </c>
      <c r="J26">
        <v>5.88</v>
      </c>
      <c r="K26">
        <v>20.5</v>
      </c>
      <c r="L26">
        <v>56</v>
      </c>
      <c r="M26">
        <v>7.14</v>
      </c>
      <c r="N26">
        <v>30.15</v>
      </c>
      <c r="O26">
        <v>43.23</v>
      </c>
      <c r="P26">
        <v>63.57</v>
      </c>
      <c r="Q26" t="s">
        <v>101</v>
      </c>
    </row>
    <row r="27" spans="1:17" x14ac:dyDescent="0.25">
      <c r="A27">
        <v>27</v>
      </c>
      <c r="B27" t="s">
        <v>102</v>
      </c>
      <c r="C27" t="s">
        <v>103</v>
      </c>
      <c r="D27" s="1">
        <v>45332</v>
      </c>
      <c r="E27" t="s">
        <v>104</v>
      </c>
      <c r="G27" t="s">
        <v>20</v>
      </c>
      <c r="H27">
        <v>449</v>
      </c>
      <c r="I27">
        <v>71</v>
      </c>
      <c r="J27">
        <v>15.81</v>
      </c>
      <c r="K27">
        <v>-46.96</v>
      </c>
      <c r="L27">
        <v>302</v>
      </c>
      <c r="M27">
        <v>23.51</v>
      </c>
      <c r="N27">
        <v>-10.46</v>
      </c>
      <c r="O27">
        <v>42.78</v>
      </c>
      <c r="P27">
        <v>9.5299999999999994</v>
      </c>
      <c r="Q27" t="s">
        <v>105</v>
      </c>
    </row>
    <row r="28" spans="1:17" x14ac:dyDescent="0.25">
      <c r="A28">
        <v>28</v>
      </c>
      <c r="B28" t="s">
        <v>106</v>
      </c>
      <c r="C28" t="s">
        <v>107</v>
      </c>
      <c r="D28" s="1">
        <v>45308</v>
      </c>
      <c r="E28" t="s">
        <v>19</v>
      </c>
      <c r="F28" t="s">
        <v>108</v>
      </c>
      <c r="G28" t="s">
        <v>20</v>
      </c>
      <c r="H28">
        <v>233</v>
      </c>
      <c r="I28">
        <v>32</v>
      </c>
      <c r="J28">
        <v>13.73</v>
      </c>
      <c r="K28">
        <v>-39.82</v>
      </c>
      <c r="L28">
        <v>190</v>
      </c>
      <c r="M28">
        <v>16.84</v>
      </c>
      <c r="N28">
        <v>-17.09</v>
      </c>
      <c r="O28">
        <v>-13.22</v>
      </c>
      <c r="P28">
        <v>-5.68</v>
      </c>
      <c r="Q28" t="s">
        <v>109</v>
      </c>
    </row>
    <row r="29" spans="1:17" x14ac:dyDescent="0.25">
      <c r="A29">
        <v>29</v>
      </c>
      <c r="B29" t="s">
        <v>110</v>
      </c>
      <c r="C29" t="s">
        <v>111</v>
      </c>
      <c r="D29" s="1">
        <v>44390</v>
      </c>
      <c r="E29" t="s">
        <v>19</v>
      </c>
      <c r="G29" t="s">
        <v>20</v>
      </c>
      <c r="H29">
        <v>483</v>
      </c>
      <c r="I29">
        <v>37</v>
      </c>
      <c r="J29">
        <v>7.66</v>
      </c>
      <c r="K29">
        <v>-108.26</v>
      </c>
      <c r="L29">
        <v>418</v>
      </c>
      <c r="M29">
        <v>8.85</v>
      </c>
      <c r="N29">
        <v>-22.41</v>
      </c>
      <c r="O29">
        <v>-15.58</v>
      </c>
      <c r="P29">
        <v>-3.23</v>
      </c>
      <c r="Q29" t="s">
        <v>112</v>
      </c>
    </row>
    <row r="30" spans="1:17" x14ac:dyDescent="0.25">
      <c r="A30">
        <v>30</v>
      </c>
      <c r="B30" t="s">
        <v>113</v>
      </c>
      <c r="C30" t="s">
        <v>114</v>
      </c>
      <c r="D30" s="1">
        <v>45331</v>
      </c>
      <c r="E30" t="s">
        <v>115</v>
      </c>
      <c r="G30" t="s">
        <v>20</v>
      </c>
      <c r="H30">
        <v>346</v>
      </c>
      <c r="I30">
        <v>13</v>
      </c>
      <c r="J30">
        <v>3.76</v>
      </c>
      <c r="K30">
        <v>-165</v>
      </c>
      <c r="L30">
        <v>308</v>
      </c>
      <c r="M30">
        <v>4.22</v>
      </c>
      <c r="N30">
        <v>-47.69</v>
      </c>
      <c r="O30">
        <v>-112.38</v>
      </c>
      <c r="P30">
        <v>-32.479999999999997</v>
      </c>
      <c r="Q30" t="s">
        <v>116</v>
      </c>
    </row>
    <row r="31" spans="1:17" x14ac:dyDescent="0.25">
      <c r="A31">
        <v>32</v>
      </c>
      <c r="B31" t="s">
        <v>117</v>
      </c>
      <c r="C31" t="s">
        <v>118</v>
      </c>
      <c r="D31" s="1">
        <v>44719</v>
      </c>
      <c r="E31" t="s">
        <v>19</v>
      </c>
      <c r="G31" t="s">
        <v>20</v>
      </c>
      <c r="H31">
        <v>298</v>
      </c>
      <c r="I31">
        <v>35</v>
      </c>
      <c r="J31">
        <v>11.75</v>
      </c>
      <c r="K31">
        <v>5.66</v>
      </c>
      <c r="L31">
        <v>246</v>
      </c>
      <c r="M31">
        <v>14.23</v>
      </c>
      <c r="N31">
        <v>1.9</v>
      </c>
      <c r="O31">
        <v>73.42</v>
      </c>
      <c r="P31">
        <v>24.64</v>
      </c>
      <c r="Q31" t="s">
        <v>119</v>
      </c>
    </row>
    <row r="32" spans="1:17" x14ac:dyDescent="0.25">
      <c r="A32">
        <v>33</v>
      </c>
      <c r="B32" t="s">
        <v>120</v>
      </c>
      <c r="C32" t="s">
        <v>121</v>
      </c>
      <c r="D32" s="1">
        <v>45143</v>
      </c>
      <c r="E32" t="s">
        <v>19</v>
      </c>
      <c r="G32" t="s">
        <v>20</v>
      </c>
      <c r="H32">
        <v>100</v>
      </c>
      <c r="I32">
        <v>20</v>
      </c>
      <c r="J32">
        <v>20</v>
      </c>
      <c r="K32">
        <v>2.6</v>
      </c>
      <c r="L32">
        <v>100</v>
      </c>
      <c r="M32">
        <v>20</v>
      </c>
      <c r="N32">
        <v>2.6</v>
      </c>
      <c r="O32">
        <v>13.33</v>
      </c>
      <c r="P32">
        <v>13.33</v>
      </c>
      <c r="Q32" t="s">
        <v>122</v>
      </c>
    </row>
    <row r="33" spans="1:17" x14ac:dyDescent="0.25">
      <c r="A33">
        <v>34</v>
      </c>
      <c r="B33" t="s">
        <v>123</v>
      </c>
      <c r="C33" t="s">
        <v>121</v>
      </c>
      <c r="D33" s="1">
        <v>45143</v>
      </c>
      <c r="E33" t="s">
        <v>19</v>
      </c>
      <c r="G33" t="s">
        <v>20</v>
      </c>
      <c r="H33">
        <v>99</v>
      </c>
      <c r="I33">
        <v>19</v>
      </c>
      <c r="J33">
        <v>19.190000000000001</v>
      </c>
      <c r="K33">
        <v>17.079999999999998</v>
      </c>
      <c r="L33">
        <v>98</v>
      </c>
      <c r="M33">
        <v>19.39</v>
      </c>
      <c r="N33">
        <v>17.25</v>
      </c>
      <c r="O33">
        <v>29.99</v>
      </c>
      <c r="P33">
        <v>30.29</v>
      </c>
      <c r="Q33" t="s">
        <v>124</v>
      </c>
    </row>
    <row r="34" spans="1:17" x14ac:dyDescent="0.25">
      <c r="A34">
        <v>35</v>
      </c>
      <c r="B34" t="s">
        <v>125</v>
      </c>
      <c r="C34" t="s">
        <v>126</v>
      </c>
      <c r="D34" s="1">
        <v>45122</v>
      </c>
      <c r="E34" t="s">
        <v>19</v>
      </c>
      <c r="F34" t="s">
        <v>108</v>
      </c>
      <c r="G34" t="s">
        <v>20</v>
      </c>
      <c r="H34">
        <v>1057</v>
      </c>
      <c r="I34">
        <v>95</v>
      </c>
      <c r="J34">
        <v>8.99</v>
      </c>
      <c r="K34">
        <v>-69.28</v>
      </c>
      <c r="L34">
        <v>741</v>
      </c>
      <c r="M34">
        <v>12.82</v>
      </c>
      <c r="N34">
        <v>-6.55</v>
      </c>
      <c r="O34">
        <v>454.43</v>
      </c>
      <c r="P34">
        <v>42.99</v>
      </c>
      <c r="Q34" t="s">
        <v>127</v>
      </c>
    </row>
    <row r="35" spans="1:17" x14ac:dyDescent="0.25">
      <c r="A35">
        <v>36</v>
      </c>
      <c r="B35" t="s">
        <v>128</v>
      </c>
      <c r="C35" t="s">
        <v>129</v>
      </c>
      <c r="D35" s="1">
        <v>46190</v>
      </c>
      <c r="E35" t="s">
        <v>19</v>
      </c>
      <c r="F35" t="s">
        <v>55</v>
      </c>
      <c r="G35" t="s">
        <v>20</v>
      </c>
      <c r="H35">
        <v>34</v>
      </c>
      <c r="I35">
        <v>1</v>
      </c>
      <c r="J35">
        <v>2.94</v>
      </c>
      <c r="K35">
        <v>-29.67</v>
      </c>
      <c r="L35">
        <v>30</v>
      </c>
      <c r="M35">
        <v>3.33</v>
      </c>
      <c r="N35">
        <v>-87.26</v>
      </c>
      <c r="O35">
        <v>-29.58</v>
      </c>
      <c r="P35">
        <v>-87</v>
      </c>
      <c r="Q35" t="s">
        <v>130</v>
      </c>
    </row>
    <row r="36" spans="1:17" x14ac:dyDescent="0.25">
      <c r="A36">
        <v>37</v>
      </c>
      <c r="B36" t="s">
        <v>131</v>
      </c>
      <c r="C36" t="s">
        <v>132</v>
      </c>
      <c r="D36" s="1">
        <v>45027</v>
      </c>
      <c r="E36" t="s">
        <v>19</v>
      </c>
      <c r="G36" t="s">
        <v>20</v>
      </c>
      <c r="H36">
        <v>102</v>
      </c>
      <c r="I36">
        <v>5</v>
      </c>
      <c r="J36">
        <v>4.9000000000000004</v>
      </c>
      <c r="K36">
        <v>-28</v>
      </c>
      <c r="L36">
        <v>99</v>
      </c>
      <c r="M36">
        <v>5.05</v>
      </c>
      <c r="N36">
        <v>-27.45</v>
      </c>
      <c r="O36">
        <v>-15.33</v>
      </c>
      <c r="P36">
        <v>-15.03</v>
      </c>
      <c r="Q36" t="s">
        <v>133</v>
      </c>
    </row>
    <row r="37" spans="1:17" x14ac:dyDescent="0.25">
      <c r="A37">
        <v>38</v>
      </c>
      <c r="B37" t="s">
        <v>134</v>
      </c>
      <c r="C37" t="s">
        <v>135</v>
      </c>
      <c r="D37" s="1">
        <v>44589</v>
      </c>
      <c r="E37" t="s">
        <v>19</v>
      </c>
      <c r="G37" t="s">
        <v>20</v>
      </c>
      <c r="H37">
        <v>264</v>
      </c>
      <c r="I37">
        <v>45</v>
      </c>
      <c r="J37">
        <v>17.05</v>
      </c>
      <c r="K37">
        <v>31.72</v>
      </c>
      <c r="L37">
        <v>247</v>
      </c>
      <c r="M37">
        <v>18.22</v>
      </c>
      <c r="N37">
        <v>12.02</v>
      </c>
      <c r="O37">
        <v>93.31</v>
      </c>
      <c r="P37">
        <v>35.35</v>
      </c>
      <c r="Q37" t="s">
        <v>136</v>
      </c>
    </row>
    <row r="38" spans="1:17" x14ac:dyDescent="0.25">
      <c r="A38">
        <v>39</v>
      </c>
      <c r="B38" t="s">
        <v>137</v>
      </c>
      <c r="C38" t="s">
        <v>138</v>
      </c>
      <c r="D38" s="1">
        <v>44333</v>
      </c>
      <c r="E38" t="s">
        <v>19</v>
      </c>
      <c r="G38" t="s">
        <v>20</v>
      </c>
      <c r="H38">
        <v>152</v>
      </c>
      <c r="I38">
        <v>19</v>
      </c>
      <c r="J38">
        <v>12.5</v>
      </c>
      <c r="K38">
        <v>43.09</v>
      </c>
      <c r="L38">
        <v>144</v>
      </c>
      <c r="M38">
        <v>13.19</v>
      </c>
      <c r="N38">
        <v>28.35</v>
      </c>
      <c r="O38">
        <v>85.41</v>
      </c>
      <c r="P38">
        <v>56.19</v>
      </c>
      <c r="Q38" t="s">
        <v>139</v>
      </c>
    </row>
    <row r="39" spans="1:17" x14ac:dyDescent="0.25">
      <c r="A39">
        <v>40</v>
      </c>
      <c r="B39" t="s">
        <v>140</v>
      </c>
      <c r="C39" t="s">
        <v>141</v>
      </c>
      <c r="D39" s="1">
        <v>45303</v>
      </c>
      <c r="E39" t="s">
        <v>142</v>
      </c>
      <c r="G39" t="s">
        <v>20</v>
      </c>
      <c r="H39">
        <v>487</v>
      </c>
      <c r="I39">
        <v>76</v>
      </c>
      <c r="J39">
        <v>15.61</v>
      </c>
      <c r="K39">
        <v>-99.04</v>
      </c>
      <c r="L39">
        <v>475</v>
      </c>
      <c r="M39">
        <v>16</v>
      </c>
      <c r="N39">
        <v>-20.34</v>
      </c>
      <c r="O39">
        <v>-43.07</v>
      </c>
      <c r="P39">
        <v>-8.84</v>
      </c>
      <c r="Q39" t="s">
        <v>143</v>
      </c>
    </row>
    <row r="40" spans="1:17" x14ac:dyDescent="0.25">
      <c r="A40">
        <v>41</v>
      </c>
      <c r="B40" t="s">
        <v>144</v>
      </c>
      <c r="C40" t="s">
        <v>145</v>
      </c>
      <c r="D40" s="1">
        <v>44332</v>
      </c>
      <c r="E40" t="s">
        <v>19</v>
      </c>
      <c r="G40" t="s">
        <v>20</v>
      </c>
      <c r="H40">
        <v>76</v>
      </c>
      <c r="I40">
        <v>10</v>
      </c>
      <c r="J40">
        <v>13.16</v>
      </c>
      <c r="K40">
        <v>8.4600000000000009</v>
      </c>
      <c r="L40">
        <v>71</v>
      </c>
      <c r="M40">
        <v>14.08</v>
      </c>
      <c r="N40">
        <v>11.13</v>
      </c>
      <c r="O40">
        <v>17.45</v>
      </c>
      <c r="P40">
        <v>22.96</v>
      </c>
      <c r="Q40" t="s">
        <v>146</v>
      </c>
    </row>
    <row r="41" spans="1:17" x14ac:dyDescent="0.25">
      <c r="A41">
        <v>42</v>
      </c>
      <c r="B41" t="s">
        <v>147</v>
      </c>
      <c r="C41" t="s">
        <v>148</v>
      </c>
      <c r="D41" s="1">
        <v>43474</v>
      </c>
      <c r="E41" t="s">
        <v>19</v>
      </c>
      <c r="G41" t="s">
        <v>20</v>
      </c>
      <c r="H41">
        <v>5744</v>
      </c>
      <c r="I41">
        <v>519</v>
      </c>
      <c r="J41">
        <v>9.0399999999999991</v>
      </c>
      <c r="K41">
        <v>-787.33</v>
      </c>
      <c r="L41">
        <v>3888</v>
      </c>
      <c r="M41">
        <v>13.35</v>
      </c>
      <c r="N41">
        <v>-13.71</v>
      </c>
      <c r="O41">
        <v>1344.49</v>
      </c>
      <c r="P41">
        <v>23.41</v>
      </c>
      <c r="Q41" t="s">
        <v>149</v>
      </c>
    </row>
    <row r="42" spans="1:17" x14ac:dyDescent="0.25">
      <c r="A42">
        <v>43</v>
      </c>
      <c r="B42" t="s">
        <v>150</v>
      </c>
      <c r="C42" t="s">
        <v>121</v>
      </c>
      <c r="D42" s="1">
        <v>45143</v>
      </c>
      <c r="E42" t="s">
        <v>19</v>
      </c>
      <c r="G42" t="s">
        <v>20</v>
      </c>
      <c r="H42">
        <v>186</v>
      </c>
      <c r="I42">
        <v>32</v>
      </c>
      <c r="J42">
        <v>17.2</v>
      </c>
      <c r="K42">
        <v>-17.399999999999999</v>
      </c>
      <c r="L42">
        <v>182</v>
      </c>
      <c r="M42">
        <v>17.579999999999998</v>
      </c>
      <c r="N42">
        <v>-9.35</v>
      </c>
      <c r="O42">
        <v>3.22</v>
      </c>
      <c r="P42">
        <v>1.73</v>
      </c>
      <c r="Q42" t="s">
        <v>151</v>
      </c>
    </row>
    <row r="43" spans="1:17" x14ac:dyDescent="0.25">
      <c r="A43">
        <v>44</v>
      </c>
      <c r="B43" t="s">
        <v>152</v>
      </c>
      <c r="C43" t="s">
        <v>153</v>
      </c>
      <c r="D43" s="1">
        <v>43504</v>
      </c>
      <c r="E43" t="s">
        <v>19</v>
      </c>
      <c r="G43" t="s">
        <v>20</v>
      </c>
      <c r="H43">
        <v>574</v>
      </c>
      <c r="I43">
        <v>97</v>
      </c>
      <c r="J43">
        <v>16.899999999999999</v>
      </c>
      <c r="K43">
        <v>100.77</v>
      </c>
      <c r="L43">
        <v>519</v>
      </c>
      <c r="M43">
        <v>18.690000000000001</v>
      </c>
      <c r="N43">
        <v>17.559999999999999</v>
      </c>
      <c r="O43">
        <v>243.58</v>
      </c>
      <c r="P43">
        <v>42.43</v>
      </c>
      <c r="Q43" t="s">
        <v>154</v>
      </c>
    </row>
    <row r="44" spans="1:17" x14ac:dyDescent="0.25">
      <c r="A44">
        <v>45</v>
      </c>
      <c r="B44" t="s">
        <v>155</v>
      </c>
      <c r="C44" t="s">
        <v>145</v>
      </c>
      <c r="D44" s="1">
        <v>44332</v>
      </c>
      <c r="E44" t="s">
        <v>19</v>
      </c>
      <c r="G44" t="s">
        <v>20</v>
      </c>
      <c r="H44">
        <v>55</v>
      </c>
      <c r="I44">
        <v>6</v>
      </c>
      <c r="J44">
        <v>10.91</v>
      </c>
      <c r="K44">
        <v>-13.67</v>
      </c>
      <c r="L44">
        <v>55</v>
      </c>
      <c r="M44">
        <v>10.91</v>
      </c>
      <c r="N44">
        <v>-24.85</v>
      </c>
      <c r="O44">
        <v>-7</v>
      </c>
      <c r="P44">
        <v>-12.73</v>
      </c>
      <c r="Q44" t="s">
        <v>156</v>
      </c>
    </row>
    <row r="45" spans="1:17" x14ac:dyDescent="0.25">
      <c r="A45">
        <v>46</v>
      </c>
      <c r="B45" t="s">
        <v>157</v>
      </c>
      <c r="C45" t="s">
        <v>158</v>
      </c>
      <c r="D45" s="1">
        <v>45307</v>
      </c>
      <c r="E45" t="s">
        <v>19</v>
      </c>
      <c r="F45" t="s">
        <v>55</v>
      </c>
      <c r="G45" t="s">
        <v>20</v>
      </c>
      <c r="H45">
        <v>462</v>
      </c>
      <c r="I45">
        <v>104</v>
      </c>
      <c r="J45">
        <v>22.51</v>
      </c>
      <c r="K45">
        <v>10.89</v>
      </c>
      <c r="L45">
        <v>433</v>
      </c>
      <c r="M45">
        <v>24.02</v>
      </c>
      <c r="N45">
        <v>2.36</v>
      </c>
      <c r="O45">
        <v>71.5</v>
      </c>
      <c r="P45">
        <v>15.51</v>
      </c>
      <c r="Q45" t="s">
        <v>159</v>
      </c>
    </row>
    <row r="46" spans="1:17" x14ac:dyDescent="0.25">
      <c r="A46">
        <v>47</v>
      </c>
      <c r="B46" t="s">
        <v>160</v>
      </c>
      <c r="C46" t="s">
        <v>161</v>
      </c>
      <c r="D46" s="1">
        <v>45737</v>
      </c>
      <c r="E46" t="s">
        <v>19</v>
      </c>
      <c r="F46" t="s">
        <v>162</v>
      </c>
      <c r="G46" t="s">
        <v>20</v>
      </c>
      <c r="H46">
        <v>1273</v>
      </c>
      <c r="I46">
        <v>117</v>
      </c>
      <c r="J46">
        <v>9.19</v>
      </c>
      <c r="K46">
        <v>-298.05</v>
      </c>
      <c r="L46">
        <v>1129</v>
      </c>
      <c r="M46">
        <v>10.36</v>
      </c>
      <c r="N46">
        <v>-23.41</v>
      </c>
      <c r="O46">
        <v>63.19</v>
      </c>
      <c r="P46">
        <v>4.97</v>
      </c>
      <c r="Q46" t="s">
        <v>163</v>
      </c>
    </row>
    <row r="47" spans="1:17" x14ac:dyDescent="0.25">
      <c r="A47">
        <v>48</v>
      </c>
      <c r="B47" t="s">
        <v>164</v>
      </c>
      <c r="C47" t="s">
        <v>165</v>
      </c>
      <c r="D47" s="1">
        <v>45341</v>
      </c>
      <c r="E47" t="s">
        <v>166</v>
      </c>
      <c r="G47" t="s">
        <v>20</v>
      </c>
      <c r="H47">
        <v>70</v>
      </c>
      <c r="I47">
        <v>10</v>
      </c>
      <c r="J47">
        <v>14.29</v>
      </c>
      <c r="K47">
        <v>-28.56</v>
      </c>
      <c r="L47">
        <v>51</v>
      </c>
      <c r="M47">
        <v>19.61</v>
      </c>
      <c r="N47">
        <v>-40.799999999999997</v>
      </c>
      <c r="O47">
        <v>-24.59</v>
      </c>
      <c r="P47">
        <v>-35.130000000000003</v>
      </c>
      <c r="Q47" t="s">
        <v>167</v>
      </c>
    </row>
    <row r="48" spans="1:17" x14ac:dyDescent="0.25">
      <c r="A48">
        <v>49</v>
      </c>
      <c r="B48" t="s">
        <v>168</v>
      </c>
      <c r="C48" t="s">
        <v>169</v>
      </c>
      <c r="D48" s="1">
        <v>44320</v>
      </c>
      <c r="E48" t="s">
        <v>19</v>
      </c>
      <c r="G48" t="s">
        <v>20</v>
      </c>
      <c r="H48">
        <v>283</v>
      </c>
      <c r="I48">
        <v>19</v>
      </c>
      <c r="J48">
        <v>6.71</v>
      </c>
      <c r="K48">
        <v>-69.09</v>
      </c>
      <c r="L48">
        <v>256</v>
      </c>
      <c r="M48">
        <v>7.42</v>
      </c>
      <c r="N48">
        <v>-24.41</v>
      </c>
      <c r="O48">
        <v>-34.47</v>
      </c>
      <c r="P48">
        <v>-12.18</v>
      </c>
      <c r="Q48" t="s">
        <v>170</v>
      </c>
    </row>
    <row r="49" spans="1:17" x14ac:dyDescent="0.25">
      <c r="A49">
        <v>50</v>
      </c>
      <c r="B49" t="s">
        <v>171</v>
      </c>
      <c r="C49" t="s">
        <v>172</v>
      </c>
      <c r="D49" s="1">
        <v>43496</v>
      </c>
      <c r="E49" t="s">
        <v>19</v>
      </c>
      <c r="G49" t="s">
        <v>20</v>
      </c>
      <c r="H49">
        <v>1314</v>
      </c>
      <c r="I49">
        <v>100</v>
      </c>
      <c r="J49">
        <v>7.61</v>
      </c>
      <c r="K49">
        <v>-255.59</v>
      </c>
      <c r="L49">
        <v>1010</v>
      </c>
      <c r="M49">
        <v>9.9</v>
      </c>
      <c r="N49">
        <v>-19.45</v>
      </c>
      <c r="O49">
        <v>10.07</v>
      </c>
      <c r="P49">
        <v>0.77</v>
      </c>
      <c r="Q49" t="s">
        <v>173</v>
      </c>
    </row>
    <row r="50" spans="1:17" x14ac:dyDescent="0.25">
      <c r="A50">
        <v>51</v>
      </c>
      <c r="B50" t="s">
        <v>174</v>
      </c>
      <c r="C50" t="s">
        <v>169</v>
      </c>
      <c r="D50" s="1">
        <v>44320</v>
      </c>
      <c r="E50" t="s">
        <v>19</v>
      </c>
      <c r="G50" t="s">
        <v>20</v>
      </c>
      <c r="H50">
        <v>83</v>
      </c>
      <c r="I50">
        <v>12</v>
      </c>
      <c r="J50">
        <v>14.46</v>
      </c>
      <c r="K50">
        <v>47.71</v>
      </c>
      <c r="L50">
        <v>74</v>
      </c>
      <c r="M50">
        <v>16.22</v>
      </c>
      <c r="N50">
        <v>57.48</v>
      </c>
      <c r="O50">
        <v>83.35</v>
      </c>
      <c r="P50">
        <v>100.42</v>
      </c>
      <c r="Q50" t="s">
        <v>175</v>
      </c>
    </row>
    <row r="51" spans="1:17" x14ac:dyDescent="0.25">
      <c r="A51">
        <v>52</v>
      </c>
      <c r="B51" t="s">
        <v>176</v>
      </c>
      <c r="C51" t="s">
        <v>177</v>
      </c>
      <c r="D51" s="1">
        <v>45323</v>
      </c>
      <c r="E51" t="s">
        <v>178</v>
      </c>
      <c r="G51" t="s">
        <v>20</v>
      </c>
      <c r="H51">
        <v>88</v>
      </c>
      <c r="I51">
        <v>11</v>
      </c>
      <c r="J51">
        <v>12.5</v>
      </c>
      <c r="K51">
        <v>-10</v>
      </c>
      <c r="L51">
        <v>59</v>
      </c>
      <c r="M51">
        <v>18.64</v>
      </c>
      <c r="N51">
        <v>-11.36</v>
      </c>
      <c r="O51">
        <v>2.4300000000000002</v>
      </c>
      <c r="P51">
        <v>2.76</v>
      </c>
      <c r="Q51" t="s">
        <v>179</v>
      </c>
    </row>
    <row r="52" spans="1:17" x14ac:dyDescent="0.25">
      <c r="A52">
        <v>53</v>
      </c>
      <c r="B52" t="s">
        <v>180</v>
      </c>
      <c r="C52" t="s">
        <v>181</v>
      </c>
      <c r="D52" s="1">
        <v>46150</v>
      </c>
      <c r="E52" t="s">
        <v>19</v>
      </c>
      <c r="G52" t="s">
        <v>20</v>
      </c>
      <c r="H52">
        <v>922</v>
      </c>
      <c r="I52">
        <v>83</v>
      </c>
      <c r="J52">
        <v>9</v>
      </c>
      <c r="K52">
        <v>33.729999999999997</v>
      </c>
      <c r="L52">
        <v>769</v>
      </c>
      <c r="M52">
        <v>10.79</v>
      </c>
      <c r="N52">
        <v>3.66</v>
      </c>
      <c r="O52">
        <v>305.75</v>
      </c>
      <c r="P52">
        <v>33.200000000000003</v>
      </c>
      <c r="Q52" t="s">
        <v>182</v>
      </c>
    </row>
    <row r="53" spans="1:17" x14ac:dyDescent="0.25">
      <c r="A53">
        <v>54</v>
      </c>
      <c r="B53" t="s">
        <v>183</v>
      </c>
      <c r="C53" t="s">
        <v>169</v>
      </c>
      <c r="D53" s="1">
        <v>44320</v>
      </c>
      <c r="E53" t="s">
        <v>19</v>
      </c>
      <c r="G53" t="s">
        <v>20</v>
      </c>
      <c r="H53">
        <v>123</v>
      </c>
      <c r="I53">
        <v>6</v>
      </c>
      <c r="J53">
        <v>4.88</v>
      </c>
      <c r="K53">
        <v>-7.75</v>
      </c>
      <c r="L53">
        <v>117</v>
      </c>
      <c r="M53">
        <v>5.13</v>
      </c>
      <c r="N53">
        <v>-6.3</v>
      </c>
      <c r="O53">
        <v>38.14</v>
      </c>
      <c r="P53">
        <v>31</v>
      </c>
      <c r="Q53" t="s">
        <v>184</v>
      </c>
    </row>
    <row r="54" spans="1:17" x14ac:dyDescent="0.25">
      <c r="A54">
        <v>55</v>
      </c>
      <c r="B54" t="s">
        <v>185</v>
      </c>
      <c r="C54" t="s">
        <v>186</v>
      </c>
      <c r="D54" s="1">
        <v>45299</v>
      </c>
      <c r="E54" t="s">
        <v>187</v>
      </c>
      <c r="G54" t="s">
        <v>20</v>
      </c>
      <c r="H54">
        <v>113</v>
      </c>
      <c r="I54">
        <v>14</v>
      </c>
      <c r="J54">
        <v>12.39</v>
      </c>
      <c r="K54">
        <v>-24.87</v>
      </c>
      <c r="L54">
        <v>111</v>
      </c>
      <c r="M54">
        <v>12.61</v>
      </c>
      <c r="N54">
        <v>-22.01</v>
      </c>
      <c r="O54">
        <v>-17.57</v>
      </c>
      <c r="P54">
        <v>-15.55</v>
      </c>
      <c r="Q54" t="s">
        <v>188</v>
      </c>
    </row>
    <row r="55" spans="1:17" x14ac:dyDescent="0.25">
      <c r="A55">
        <v>56</v>
      </c>
      <c r="B55" t="s">
        <v>189</v>
      </c>
      <c r="C55" t="s">
        <v>190</v>
      </c>
      <c r="D55" s="1">
        <v>45538</v>
      </c>
      <c r="E55" t="s">
        <v>191</v>
      </c>
      <c r="G55" t="s">
        <v>20</v>
      </c>
      <c r="H55">
        <v>355</v>
      </c>
      <c r="I55">
        <v>11</v>
      </c>
      <c r="J55">
        <v>3.1</v>
      </c>
      <c r="K55">
        <v>-77</v>
      </c>
      <c r="L55">
        <v>260</v>
      </c>
      <c r="M55">
        <v>4.2300000000000004</v>
      </c>
      <c r="N55">
        <v>-21.69</v>
      </c>
      <c r="O55">
        <v>65.02</v>
      </c>
      <c r="P55">
        <v>18.32</v>
      </c>
      <c r="Q55" t="s">
        <v>192</v>
      </c>
    </row>
    <row r="56" spans="1:17" x14ac:dyDescent="0.25">
      <c r="A56">
        <v>57</v>
      </c>
      <c r="B56" t="s">
        <v>193</v>
      </c>
      <c r="C56" t="s">
        <v>194</v>
      </c>
      <c r="D56" s="1">
        <v>45330</v>
      </c>
      <c r="E56" t="s">
        <v>195</v>
      </c>
      <c r="G56" t="s">
        <v>20</v>
      </c>
      <c r="H56">
        <v>745</v>
      </c>
      <c r="I56">
        <v>60</v>
      </c>
      <c r="J56">
        <v>8.0500000000000007</v>
      </c>
      <c r="K56">
        <v>-217.84</v>
      </c>
      <c r="L56">
        <v>629</v>
      </c>
      <c r="M56">
        <v>9.5399999999999991</v>
      </c>
      <c r="N56">
        <v>-29.24</v>
      </c>
      <c r="O56">
        <v>-77.180000000000007</v>
      </c>
      <c r="P56">
        <v>-10.36</v>
      </c>
      <c r="Q56" t="s">
        <v>196</v>
      </c>
    </row>
    <row r="57" spans="1:17" x14ac:dyDescent="0.25">
      <c r="A57">
        <v>58</v>
      </c>
      <c r="B57" t="s">
        <v>197</v>
      </c>
      <c r="C57" t="s">
        <v>198</v>
      </c>
      <c r="D57" s="1">
        <v>44300</v>
      </c>
      <c r="E57" t="s">
        <v>199</v>
      </c>
      <c r="G57" t="s">
        <v>200</v>
      </c>
    </row>
    <row r="58" spans="1:17" x14ac:dyDescent="0.25">
      <c r="A58">
        <v>60</v>
      </c>
      <c r="B58" t="s">
        <v>201</v>
      </c>
      <c r="C58" t="s">
        <v>172</v>
      </c>
      <c r="D58" s="1">
        <v>43496</v>
      </c>
      <c r="E58" t="s">
        <v>19</v>
      </c>
      <c r="G58" t="s">
        <v>200</v>
      </c>
    </row>
    <row r="59" spans="1:17" x14ac:dyDescent="0.25">
      <c r="A59">
        <v>61</v>
      </c>
      <c r="B59" t="s">
        <v>202</v>
      </c>
      <c r="C59" t="s">
        <v>203</v>
      </c>
      <c r="D59" s="1">
        <v>45185</v>
      </c>
      <c r="E59" t="s">
        <v>19</v>
      </c>
      <c r="G59" t="s">
        <v>200</v>
      </c>
    </row>
    <row r="60" spans="1:17" x14ac:dyDescent="0.25">
      <c r="A60">
        <v>62</v>
      </c>
      <c r="B60" t="s">
        <v>204</v>
      </c>
      <c r="C60" t="s">
        <v>205</v>
      </c>
      <c r="D60" s="1">
        <v>46076</v>
      </c>
      <c r="E60" t="s">
        <v>206</v>
      </c>
      <c r="F60" t="s">
        <v>207</v>
      </c>
      <c r="G60" t="s">
        <v>200</v>
      </c>
    </row>
    <row r="61" spans="1:17" x14ac:dyDescent="0.25">
      <c r="A61">
        <v>63</v>
      </c>
      <c r="B61" t="s">
        <v>208</v>
      </c>
      <c r="C61" t="s">
        <v>135</v>
      </c>
      <c r="D61" s="1">
        <v>44589</v>
      </c>
      <c r="E61" t="s">
        <v>19</v>
      </c>
      <c r="G61" t="s">
        <v>200</v>
      </c>
    </row>
    <row r="62" spans="1:17" x14ac:dyDescent="0.25">
      <c r="A62">
        <v>64</v>
      </c>
      <c r="B62" t="s">
        <v>209</v>
      </c>
      <c r="C62" t="s">
        <v>210</v>
      </c>
      <c r="D62" s="1">
        <v>44312</v>
      </c>
      <c r="E62" t="s">
        <v>19</v>
      </c>
      <c r="G62" t="s">
        <v>200</v>
      </c>
    </row>
    <row r="63" spans="1:17" x14ac:dyDescent="0.25">
      <c r="A63">
        <v>65</v>
      </c>
      <c r="B63" t="s">
        <v>211</v>
      </c>
      <c r="C63" t="s">
        <v>212</v>
      </c>
      <c r="D63" s="1">
        <v>41166</v>
      </c>
      <c r="E63" t="s">
        <v>19</v>
      </c>
      <c r="G63" t="s">
        <v>200</v>
      </c>
    </row>
    <row r="64" spans="1:17" x14ac:dyDescent="0.25">
      <c r="A64">
        <v>66</v>
      </c>
      <c r="B64" t="s">
        <v>213</v>
      </c>
      <c r="C64" t="s">
        <v>214</v>
      </c>
      <c r="D64" s="1">
        <v>45691</v>
      </c>
      <c r="E64" t="s">
        <v>44</v>
      </c>
      <c r="G64" t="s">
        <v>200</v>
      </c>
    </row>
    <row r="65" spans="1:7" x14ac:dyDescent="0.25">
      <c r="A65">
        <v>67</v>
      </c>
      <c r="B65" t="s">
        <v>215</v>
      </c>
      <c r="C65" t="s">
        <v>216</v>
      </c>
      <c r="D65" s="1">
        <v>45933</v>
      </c>
      <c r="E65" t="s">
        <v>217</v>
      </c>
      <c r="G65" t="s">
        <v>200</v>
      </c>
    </row>
    <row r="66" spans="1:7" x14ac:dyDescent="0.25">
      <c r="A66">
        <v>68</v>
      </c>
      <c r="B66" t="s">
        <v>218</v>
      </c>
      <c r="C66" t="s">
        <v>219</v>
      </c>
      <c r="D66" s="1">
        <v>45951</v>
      </c>
      <c r="E66" t="s">
        <v>78</v>
      </c>
      <c r="G66" t="s">
        <v>200</v>
      </c>
    </row>
    <row r="67" spans="1:7" x14ac:dyDescent="0.25">
      <c r="A67">
        <v>69</v>
      </c>
      <c r="B67" t="s">
        <v>220</v>
      </c>
      <c r="C67" t="s">
        <v>221</v>
      </c>
      <c r="D67" s="1">
        <v>44366</v>
      </c>
      <c r="E67" t="s">
        <v>19</v>
      </c>
      <c r="G67" t="s">
        <v>200</v>
      </c>
    </row>
    <row r="68" spans="1:7" x14ac:dyDescent="0.25">
      <c r="A68">
        <v>70</v>
      </c>
      <c r="B68" t="s">
        <v>222</v>
      </c>
      <c r="C68" t="s">
        <v>223</v>
      </c>
      <c r="D68" s="1">
        <v>45349</v>
      </c>
      <c r="E68" t="s">
        <v>224</v>
      </c>
      <c r="G68" t="s">
        <v>200</v>
      </c>
    </row>
    <row r="69" spans="1:7" x14ac:dyDescent="0.25">
      <c r="A69">
        <v>71</v>
      </c>
      <c r="B69" t="s">
        <v>225</v>
      </c>
      <c r="C69" t="s">
        <v>221</v>
      </c>
      <c r="D69" s="1">
        <v>44366</v>
      </c>
      <c r="E69" t="s">
        <v>19</v>
      </c>
      <c r="G69" t="s">
        <v>200</v>
      </c>
    </row>
    <row r="70" spans="1:7" x14ac:dyDescent="0.25">
      <c r="A70">
        <v>73</v>
      </c>
      <c r="B70" t="s">
        <v>226</v>
      </c>
      <c r="C70" t="s">
        <v>227</v>
      </c>
      <c r="D70" s="1">
        <v>45060</v>
      </c>
      <c r="E70" t="s">
        <v>19</v>
      </c>
      <c r="G70" t="s">
        <v>200</v>
      </c>
    </row>
    <row r="71" spans="1:7" x14ac:dyDescent="0.25">
      <c r="A71">
        <v>74</v>
      </c>
      <c r="B71" t="s">
        <v>228</v>
      </c>
      <c r="C71" t="s">
        <v>229</v>
      </c>
      <c r="D71" s="1">
        <v>44427</v>
      </c>
      <c r="E71" t="s">
        <v>44</v>
      </c>
      <c r="F71" t="s">
        <v>230</v>
      </c>
      <c r="G71" t="s">
        <v>200</v>
      </c>
    </row>
    <row r="72" spans="1:7" x14ac:dyDescent="0.25">
      <c r="A72">
        <v>75</v>
      </c>
      <c r="B72" t="s">
        <v>231</v>
      </c>
      <c r="C72" t="s">
        <v>186</v>
      </c>
      <c r="D72" s="1">
        <v>45299</v>
      </c>
      <c r="E72" t="s">
        <v>232</v>
      </c>
      <c r="G72" t="s">
        <v>200</v>
      </c>
    </row>
    <row r="73" spans="1:7" x14ac:dyDescent="0.25">
      <c r="A73">
        <v>78</v>
      </c>
      <c r="B73" t="s">
        <v>233</v>
      </c>
      <c r="C73" t="s">
        <v>221</v>
      </c>
      <c r="D73" s="1">
        <v>44366</v>
      </c>
      <c r="E73" t="s">
        <v>19</v>
      </c>
      <c r="G73" t="s">
        <v>200</v>
      </c>
    </row>
    <row r="74" spans="1:7" x14ac:dyDescent="0.25">
      <c r="A74">
        <v>79</v>
      </c>
      <c r="B74" t="s">
        <v>234</v>
      </c>
      <c r="C74" t="s">
        <v>235</v>
      </c>
      <c r="D74" s="1">
        <v>45483</v>
      </c>
      <c r="E74" t="s">
        <v>236</v>
      </c>
      <c r="G74" t="s">
        <v>200</v>
      </c>
    </row>
    <row r="75" spans="1:7" x14ac:dyDescent="0.25">
      <c r="A75">
        <v>80</v>
      </c>
      <c r="B75" t="s">
        <v>237</v>
      </c>
      <c r="C75" t="s">
        <v>99</v>
      </c>
      <c r="D75" s="1">
        <v>45186</v>
      </c>
      <c r="E75" t="s">
        <v>238</v>
      </c>
      <c r="G75" t="s">
        <v>200</v>
      </c>
    </row>
    <row r="76" spans="1:7" x14ac:dyDescent="0.25">
      <c r="A76">
        <v>82</v>
      </c>
      <c r="B76" t="s">
        <v>239</v>
      </c>
      <c r="C76" t="s">
        <v>240</v>
      </c>
      <c r="D76" s="1">
        <v>45798</v>
      </c>
      <c r="E76" t="s">
        <v>19</v>
      </c>
      <c r="G76" t="s">
        <v>200</v>
      </c>
    </row>
    <row r="77" spans="1:7" x14ac:dyDescent="0.25">
      <c r="A77">
        <v>83</v>
      </c>
      <c r="B77" t="s">
        <v>241</v>
      </c>
      <c r="C77" t="s">
        <v>64</v>
      </c>
      <c r="D77" s="1">
        <v>45646</v>
      </c>
      <c r="E77" t="s">
        <v>19</v>
      </c>
      <c r="G77" t="s">
        <v>200</v>
      </c>
    </row>
    <row r="78" spans="1:7" x14ac:dyDescent="0.25">
      <c r="A78">
        <v>84</v>
      </c>
      <c r="B78" t="s">
        <v>242</v>
      </c>
      <c r="C78" t="s">
        <v>243</v>
      </c>
      <c r="D78" s="1">
        <v>45193</v>
      </c>
      <c r="E78" t="s">
        <v>19</v>
      </c>
      <c r="F78" t="s">
        <v>108</v>
      </c>
      <c r="G78" t="s">
        <v>200</v>
      </c>
    </row>
    <row r="79" spans="1:7" x14ac:dyDescent="0.25">
      <c r="A79">
        <v>85</v>
      </c>
      <c r="B79" t="s">
        <v>244</v>
      </c>
      <c r="C79" t="s">
        <v>245</v>
      </c>
      <c r="D79" s="1">
        <v>45344</v>
      </c>
      <c r="E79" t="s">
        <v>246</v>
      </c>
      <c r="G79" t="s">
        <v>200</v>
      </c>
    </row>
    <row r="80" spans="1:7" x14ac:dyDescent="0.25">
      <c r="A80">
        <v>87</v>
      </c>
      <c r="B80" t="s">
        <v>247</v>
      </c>
      <c r="C80" t="s">
        <v>248</v>
      </c>
      <c r="D80" s="1">
        <v>45342</v>
      </c>
      <c r="E80" t="s">
        <v>104</v>
      </c>
      <c r="G80" t="s">
        <v>200</v>
      </c>
    </row>
    <row r="81" spans="1:7" x14ac:dyDescent="0.25">
      <c r="A81">
        <v>88</v>
      </c>
      <c r="B81" t="s">
        <v>249</v>
      </c>
      <c r="C81" t="s">
        <v>250</v>
      </c>
      <c r="D81" s="1">
        <v>45320</v>
      </c>
      <c r="E81" t="s">
        <v>251</v>
      </c>
      <c r="G81" t="s">
        <v>200</v>
      </c>
    </row>
    <row r="82" spans="1:7" x14ac:dyDescent="0.25">
      <c r="A82">
        <v>89</v>
      </c>
      <c r="B82" t="s">
        <v>252</v>
      </c>
      <c r="C82" t="s">
        <v>253</v>
      </c>
      <c r="D82" s="1">
        <v>45726</v>
      </c>
      <c r="E82" t="s">
        <v>254</v>
      </c>
      <c r="G82" t="s">
        <v>200</v>
      </c>
    </row>
    <row r="83" spans="1:7" x14ac:dyDescent="0.25">
      <c r="A83">
        <v>90</v>
      </c>
      <c r="B83" t="s">
        <v>255</v>
      </c>
      <c r="C83" t="s">
        <v>177</v>
      </c>
      <c r="D83" s="1">
        <v>45323</v>
      </c>
      <c r="E83" t="s">
        <v>256</v>
      </c>
      <c r="G83" t="s">
        <v>200</v>
      </c>
    </row>
    <row r="84" spans="1:7" x14ac:dyDescent="0.25">
      <c r="A84">
        <v>91</v>
      </c>
      <c r="B84" t="s">
        <v>257</v>
      </c>
      <c r="C84" t="s">
        <v>258</v>
      </c>
      <c r="D84" s="1">
        <v>43242</v>
      </c>
      <c r="E84" t="s">
        <v>19</v>
      </c>
      <c r="G84" t="s">
        <v>200</v>
      </c>
    </row>
    <row r="85" spans="1:7" x14ac:dyDescent="0.25">
      <c r="A85">
        <v>92</v>
      </c>
      <c r="B85" t="s">
        <v>259</v>
      </c>
      <c r="C85" t="s">
        <v>260</v>
      </c>
      <c r="D85" s="1">
        <v>44940</v>
      </c>
      <c r="E85" t="s">
        <v>19</v>
      </c>
      <c r="F85" t="s">
        <v>55</v>
      </c>
      <c r="G85" t="s">
        <v>200</v>
      </c>
    </row>
    <row r="86" spans="1:7" x14ac:dyDescent="0.25">
      <c r="A86">
        <v>93</v>
      </c>
      <c r="B86" t="s">
        <v>261</v>
      </c>
      <c r="C86" t="s">
        <v>262</v>
      </c>
      <c r="D86" s="1">
        <v>45963</v>
      </c>
      <c r="E86" t="s">
        <v>92</v>
      </c>
      <c r="G86" t="s">
        <v>200</v>
      </c>
    </row>
    <row r="87" spans="1:7" x14ac:dyDescent="0.25">
      <c r="A87">
        <v>94</v>
      </c>
      <c r="B87" t="s">
        <v>263</v>
      </c>
      <c r="C87" t="s">
        <v>240</v>
      </c>
      <c r="D87" s="1">
        <v>45798</v>
      </c>
      <c r="E87" t="s">
        <v>264</v>
      </c>
      <c r="G87" t="s">
        <v>200</v>
      </c>
    </row>
    <row r="88" spans="1:7" x14ac:dyDescent="0.25">
      <c r="A88">
        <v>95</v>
      </c>
      <c r="B88" t="s">
        <v>265</v>
      </c>
      <c r="C88" t="s">
        <v>266</v>
      </c>
      <c r="D88" s="1">
        <v>45208</v>
      </c>
      <c r="E88" t="s">
        <v>267</v>
      </c>
      <c r="G88" t="s">
        <v>200</v>
      </c>
    </row>
    <row r="89" spans="1:7" x14ac:dyDescent="0.25">
      <c r="A89">
        <v>96</v>
      </c>
      <c r="B89" t="s">
        <v>268</v>
      </c>
      <c r="C89" t="s">
        <v>269</v>
      </c>
      <c r="D89" s="1">
        <v>46160</v>
      </c>
      <c r="E89" t="s">
        <v>270</v>
      </c>
      <c r="G89" t="s">
        <v>200</v>
      </c>
    </row>
    <row r="90" spans="1:7" x14ac:dyDescent="0.25">
      <c r="A90">
        <v>97</v>
      </c>
      <c r="B90" t="s">
        <v>271</v>
      </c>
      <c r="C90" t="s">
        <v>240</v>
      </c>
      <c r="D90" s="1">
        <v>45798</v>
      </c>
      <c r="E90" t="s">
        <v>115</v>
      </c>
      <c r="G90" t="s">
        <v>200</v>
      </c>
    </row>
    <row r="91" spans="1:7" x14ac:dyDescent="0.25">
      <c r="A91">
        <v>98</v>
      </c>
      <c r="B91" t="s">
        <v>272</v>
      </c>
      <c r="C91" t="s">
        <v>240</v>
      </c>
      <c r="D91" s="1">
        <v>45798</v>
      </c>
      <c r="E91" t="s">
        <v>273</v>
      </c>
      <c r="F91" t="s">
        <v>274</v>
      </c>
      <c r="G91" t="s">
        <v>200</v>
      </c>
    </row>
    <row r="92" spans="1:7" x14ac:dyDescent="0.25">
      <c r="A92">
        <v>99</v>
      </c>
      <c r="B92" t="s">
        <v>275</v>
      </c>
      <c r="C92" t="s">
        <v>276</v>
      </c>
      <c r="D92" s="1">
        <v>45501</v>
      </c>
      <c r="E92" t="s">
        <v>277</v>
      </c>
      <c r="G92" t="s">
        <v>200</v>
      </c>
    </row>
    <row r="93" spans="1:7" x14ac:dyDescent="0.25">
      <c r="A93">
        <v>100</v>
      </c>
      <c r="B93" t="s">
        <v>278</v>
      </c>
      <c r="C93" t="s">
        <v>279</v>
      </c>
      <c r="D93" s="1">
        <v>44429</v>
      </c>
      <c r="E93" t="s">
        <v>19</v>
      </c>
      <c r="G93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9E8B-1E6D-4EBE-BA94-9F979C6A283E}">
  <dimension ref="A1:Q60"/>
  <sheetViews>
    <sheetView tabSelected="1" workbookViewId="0">
      <selection activeCell="R12" sqref="R12"/>
    </sheetView>
  </sheetViews>
  <sheetFormatPr defaultRowHeight="15" x14ac:dyDescent="0.25"/>
  <cols>
    <col min="2" max="2" width="33.28515625" customWidth="1"/>
    <col min="3" max="3" width="12.7109375" customWidth="1"/>
    <col min="4" max="4" width="13.85546875" customWidth="1"/>
    <col min="5" max="5" width="14.85546875" customWidth="1"/>
    <col min="6" max="6" width="12" customWidth="1"/>
    <col min="16" max="16" width="11.28515625" customWidth="1"/>
    <col min="17" max="17" width="53.5703125" hidden="1" customWidth="1"/>
    <col min="18" max="18" width="82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42</v>
      </c>
      <c r="B2" t="s">
        <v>147</v>
      </c>
      <c r="C2" t="s">
        <v>148</v>
      </c>
      <c r="D2" s="1">
        <v>43474</v>
      </c>
      <c r="E2" t="s">
        <v>19</v>
      </c>
      <c r="G2" t="s">
        <v>20</v>
      </c>
      <c r="H2">
        <v>5744</v>
      </c>
      <c r="I2">
        <v>519</v>
      </c>
      <c r="J2">
        <v>9.0399999999999991</v>
      </c>
      <c r="K2">
        <v>-787.33</v>
      </c>
      <c r="L2">
        <v>3888</v>
      </c>
      <c r="M2">
        <v>13.35</v>
      </c>
      <c r="N2">
        <v>-13.71</v>
      </c>
      <c r="O2">
        <v>1344.49</v>
      </c>
      <c r="P2">
        <v>23.41</v>
      </c>
      <c r="Q2" t="s">
        <v>149</v>
      </c>
    </row>
    <row r="3" spans="1:17" x14ac:dyDescent="0.25">
      <c r="A3">
        <v>35</v>
      </c>
      <c r="B3" t="s">
        <v>125</v>
      </c>
      <c r="C3" t="s">
        <v>126</v>
      </c>
      <c r="D3" s="1">
        <v>45122</v>
      </c>
      <c r="E3" t="s">
        <v>19</v>
      </c>
      <c r="F3" t="s">
        <v>108</v>
      </c>
      <c r="G3" t="s">
        <v>20</v>
      </c>
      <c r="H3">
        <v>1057</v>
      </c>
      <c r="I3">
        <v>95</v>
      </c>
      <c r="J3">
        <v>8.99</v>
      </c>
      <c r="K3">
        <v>-69.28</v>
      </c>
      <c r="L3">
        <v>741</v>
      </c>
      <c r="M3">
        <v>12.82</v>
      </c>
      <c r="N3">
        <v>-6.55</v>
      </c>
      <c r="O3">
        <v>454.43</v>
      </c>
      <c r="P3">
        <v>42.99</v>
      </c>
      <c r="Q3" t="s">
        <v>127</v>
      </c>
    </row>
    <row r="4" spans="1:17" x14ac:dyDescent="0.25">
      <c r="A4">
        <v>53</v>
      </c>
      <c r="B4" t="s">
        <v>180</v>
      </c>
      <c r="C4" t="s">
        <v>181</v>
      </c>
      <c r="D4" s="1">
        <v>46150</v>
      </c>
      <c r="E4" t="s">
        <v>19</v>
      </c>
      <c r="G4" t="s">
        <v>20</v>
      </c>
      <c r="H4">
        <v>922</v>
      </c>
      <c r="I4">
        <v>83</v>
      </c>
      <c r="J4">
        <v>9</v>
      </c>
      <c r="K4">
        <v>33.729999999999997</v>
      </c>
      <c r="L4">
        <v>769</v>
      </c>
      <c r="M4">
        <v>10.79</v>
      </c>
      <c r="N4">
        <v>3.66</v>
      </c>
      <c r="O4">
        <v>305.75</v>
      </c>
      <c r="P4">
        <v>33.200000000000003</v>
      </c>
      <c r="Q4" t="s">
        <v>182</v>
      </c>
    </row>
    <row r="5" spans="1:17" x14ac:dyDescent="0.25">
      <c r="A5">
        <v>20</v>
      </c>
      <c r="B5" t="s">
        <v>80</v>
      </c>
      <c r="C5" t="s">
        <v>81</v>
      </c>
      <c r="D5" s="1">
        <v>43570</v>
      </c>
      <c r="E5" t="s">
        <v>19</v>
      </c>
      <c r="G5" t="s">
        <v>20</v>
      </c>
      <c r="H5">
        <v>577</v>
      </c>
      <c r="I5">
        <v>46</v>
      </c>
      <c r="J5">
        <v>7.97</v>
      </c>
      <c r="K5">
        <v>18.260000000000002</v>
      </c>
      <c r="L5">
        <v>508</v>
      </c>
      <c r="M5">
        <v>9.06</v>
      </c>
      <c r="N5">
        <v>3.16</v>
      </c>
      <c r="O5">
        <v>292.99</v>
      </c>
      <c r="P5">
        <v>50.78</v>
      </c>
      <c r="Q5" t="s">
        <v>82</v>
      </c>
    </row>
    <row r="6" spans="1:17" x14ac:dyDescent="0.25">
      <c r="A6">
        <v>44</v>
      </c>
      <c r="B6" t="s">
        <v>152</v>
      </c>
      <c r="C6" t="s">
        <v>153</v>
      </c>
      <c r="D6" s="1">
        <v>43504</v>
      </c>
      <c r="E6" t="s">
        <v>19</v>
      </c>
      <c r="G6" t="s">
        <v>20</v>
      </c>
      <c r="H6">
        <v>574</v>
      </c>
      <c r="I6">
        <v>97</v>
      </c>
      <c r="J6">
        <v>16.899999999999999</v>
      </c>
      <c r="K6">
        <v>100.77</v>
      </c>
      <c r="L6">
        <v>519</v>
      </c>
      <c r="M6">
        <v>18.690000000000001</v>
      </c>
      <c r="N6">
        <v>17.559999999999999</v>
      </c>
      <c r="O6">
        <v>243.58</v>
      </c>
      <c r="P6">
        <v>42.43</v>
      </c>
      <c r="Q6" t="s">
        <v>154</v>
      </c>
    </row>
    <row r="7" spans="1:17" x14ac:dyDescent="0.25">
      <c r="A7">
        <v>2</v>
      </c>
      <c r="B7" t="s">
        <v>22</v>
      </c>
      <c r="C7" t="s">
        <v>23</v>
      </c>
      <c r="D7" s="1">
        <v>44317</v>
      </c>
      <c r="E7" t="s">
        <v>19</v>
      </c>
      <c r="G7" t="s">
        <v>20</v>
      </c>
      <c r="H7">
        <v>188</v>
      </c>
      <c r="I7">
        <v>19</v>
      </c>
      <c r="J7">
        <v>10.11</v>
      </c>
      <c r="K7">
        <v>102.07</v>
      </c>
      <c r="L7">
        <v>176</v>
      </c>
      <c r="M7">
        <v>10.8</v>
      </c>
      <c r="N7">
        <v>54.29</v>
      </c>
      <c r="O7">
        <v>201</v>
      </c>
      <c r="P7">
        <v>106.91</v>
      </c>
      <c r="Q7" t="s">
        <v>24</v>
      </c>
    </row>
    <row r="8" spans="1:17" x14ac:dyDescent="0.25">
      <c r="A8">
        <v>23</v>
      </c>
      <c r="B8" t="s">
        <v>86</v>
      </c>
      <c r="C8" t="s">
        <v>87</v>
      </c>
      <c r="D8" s="1">
        <v>44740</v>
      </c>
      <c r="E8" t="s">
        <v>88</v>
      </c>
      <c r="G8" t="s">
        <v>20</v>
      </c>
      <c r="H8">
        <v>164</v>
      </c>
      <c r="I8">
        <v>18</v>
      </c>
      <c r="J8">
        <v>10.98</v>
      </c>
      <c r="K8">
        <v>97.5</v>
      </c>
      <c r="L8">
        <v>147</v>
      </c>
      <c r="M8">
        <v>12.24</v>
      </c>
      <c r="N8">
        <v>59.45</v>
      </c>
      <c r="O8">
        <v>190.11</v>
      </c>
      <c r="P8">
        <v>115.92</v>
      </c>
      <c r="Q8" t="s">
        <v>89</v>
      </c>
    </row>
    <row r="9" spans="1:17" x14ac:dyDescent="0.25">
      <c r="A9">
        <v>9</v>
      </c>
      <c r="B9" t="s">
        <v>42</v>
      </c>
      <c r="C9" t="s">
        <v>43</v>
      </c>
      <c r="D9" s="1">
        <v>45720</v>
      </c>
      <c r="E9" t="s">
        <v>44</v>
      </c>
      <c r="G9" t="s">
        <v>20</v>
      </c>
      <c r="H9">
        <v>211</v>
      </c>
      <c r="I9">
        <v>14</v>
      </c>
      <c r="J9">
        <v>6.64</v>
      </c>
      <c r="K9">
        <v>54.5</v>
      </c>
      <c r="L9">
        <v>157</v>
      </c>
      <c r="M9">
        <v>8.92</v>
      </c>
      <c r="N9">
        <v>25.83</v>
      </c>
      <c r="O9">
        <v>181.18</v>
      </c>
      <c r="P9">
        <v>85.87</v>
      </c>
      <c r="Q9" t="s">
        <v>45</v>
      </c>
    </row>
    <row r="10" spans="1:17" x14ac:dyDescent="0.25">
      <c r="A10">
        <v>12</v>
      </c>
      <c r="B10" t="s">
        <v>53</v>
      </c>
      <c r="C10" t="s">
        <v>54</v>
      </c>
      <c r="D10" s="1">
        <v>45334</v>
      </c>
      <c r="E10" t="s">
        <v>19</v>
      </c>
      <c r="F10" t="s">
        <v>55</v>
      </c>
      <c r="G10" t="s">
        <v>20</v>
      </c>
      <c r="H10">
        <v>1258</v>
      </c>
      <c r="I10">
        <v>142</v>
      </c>
      <c r="J10">
        <v>11.29</v>
      </c>
      <c r="K10">
        <v>-101.07</v>
      </c>
      <c r="L10">
        <v>982</v>
      </c>
      <c r="M10">
        <v>14.46</v>
      </c>
      <c r="N10">
        <v>-8.0299999999999994</v>
      </c>
      <c r="O10">
        <v>146.52000000000001</v>
      </c>
      <c r="P10">
        <v>11.67</v>
      </c>
      <c r="Q10" t="s">
        <v>56</v>
      </c>
    </row>
    <row r="11" spans="1:17" x14ac:dyDescent="0.25">
      <c r="A11">
        <v>17</v>
      </c>
      <c r="B11" t="s">
        <v>69</v>
      </c>
      <c r="C11" t="s">
        <v>70</v>
      </c>
      <c r="D11" s="1">
        <v>45272</v>
      </c>
      <c r="E11" t="s">
        <v>71</v>
      </c>
      <c r="G11" t="s">
        <v>20</v>
      </c>
      <c r="H11">
        <v>333</v>
      </c>
      <c r="I11">
        <v>25</v>
      </c>
      <c r="J11">
        <v>7.51</v>
      </c>
      <c r="K11">
        <v>47</v>
      </c>
      <c r="L11">
        <v>277</v>
      </c>
      <c r="M11">
        <v>9.0299999999999994</v>
      </c>
      <c r="N11">
        <v>14.11</v>
      </c>
      <c r="O11">
        <v>138.12</v>
      </c>
      <c r="P11">
        <v>41.48</v>
      </c>
      <c r="Q11" t="s">
        <v>72</v>
      </c>
    </row>
    <row r="12" spans="1:17" x14ac:dyDescent="0.25">
      <c r="A12">
        <v>7</v>
      </c>
      <c r="B12" t="s">
        <v>36</v>
      </c>
      <c r="C12" t="s">
        <v>37</v>
      </c>
      <c r="D12" s="1">
        <v>44311</v>
      </c>
      <c r="E12" t="s">
        <v>19</v>
      </c>
      <c r="G12" t="s">
        <v>20</v>
      </c>
      <c r="H12">
        <v>245</v>
      </c>
      <c r="I12">
        <v>27</v>
      </c>
      <c r="J12">
        <v>11.02</v>
      </c>
      <c r="K12">
        <v>45.71</v>
      </c>
      <c r="L12">
        <v>238</v>
      </c>
      <c r="M12">
        <v>11.34</v>
      </c>
      <c r="N12">
        <v>18.66</v>
      </c>
      <c r="O12">
        <v>135.43</v>
      </c>
      <c r="P12">
        <v>55.28</v>
      </c>
      <c r="Q12" t="s">
        <v>38</v>
      </c>
    </row>
    <row r="13" spans="1:17" x14ac:dyDescent="0.25">
      <c r="A13">
        <v>38</v>
      </c>
      <c r="B13" t="s">
        <v>134</v>
      </c>
      <c r="C13" t="s">
        <v>135</v>
      </c>
      <c r="D13" s="1">
        <v>44589</v>
      </c>
      <c r="E13" t="s">
        <v>19</v>
      </c>
      <c r="G13" t="s">
        <v>20</v>
      </c>
      <c r="H13">
        <v>264</v>
      </c>
      <c r="I13">
        <v>45</v>
      </c>
      <c r="J13">
        <v>17.05</v>
      </c>
      <c r="K13">
        <v>31.72</v>
      </c>
      <c r="L13">
        <v>247</v>
      </c>
      <c r="M13">
        <v>18.22</v>
      </c>
      <c r="N13">
        <v>12.02</v>
      </c>
      <c r="O13">
        <v>93.31</v>
      </c>
      <c r="P13">
        <v>35.35</v>
      </c>
      <c r="Q13" t="s">
        <v>136</v>
      </c>
    </row>
    <row r="14" spans="1:17" x14ac:dyDescent="0.25">
      <c r="A14">
        <v>39</v>
      </c>
      <c r="B14" t="s">
        <v>137</v>
      </c>
      <c r="C14" t="s">
        <v>138</v>
      </c>
      <c r="D14" s="1">
        <v>44333</v>
      </c>
      <c r="E14" t="s">
        <v>19</v>
      </c>
      <c r="G14" t="s">
        <v>20</v>
      </c>
      <c r="H14">
        <v>152</v>
      </c>
      <c r="I14">
        <v>19</v>
      </c>
      <c r="J14">
        <v>12.5</v>
      </c>
      <c r="K14">
        <v>43.09</v>
      </c>
      <c r="L14">
        <v>144</v>
      </c>
      <c r="M14">
        <v>13.19</v>
      </c>
      <c r="N14">
        <v>28.35</v>
      </c>
      <c r="O14">
        <v>85.41</v>
      </c>
      <c r="P14">
        <v>56.19</v>
      </c>
      <c r="Q14" t="s">
        <v>139</v>
      </c>
    </row>
    <row r="15" spans="1:17" x14ac:dyDescent="0.25">
      <c r="A15">
        <v>51</v>
      </c>
      <c r="B15" t="s">
        <v>174</v>
      </c>
      <c r="C15" t="s">
        <v>169</v>
      </c>
      <c r="D15" s="1">
        <v>44320</v>
      </c>
      <c r="E15" t="s">
        <v>19</v>
      </c>
      <c r="G15" t="s">
        <v>20</v>
      </c>
      <c r="H15">
        <v>83</v>
      </c>
      <c r="I15">
        <v>12</v>
      </c>
      <c r="J15">
        <v>14.46</v>
      </c>
      <c r="K15">
        <v>47.71</v>
      </c>
      <c r="L15">
        <v>74</v>
      </c>
      <c r="M15">
        <v>16.22</v>
      </c>
      <c r="N15">
        <v>57.48</v>
      </c>
      <c r="O15">
        <v>83.35</v>
      </c>
      <c r="P15">
        <v>100.42</v>
      </c>
      <c r="Q15" t="s">
        <v>175</v>
      </c>
    </row>
    <row r="16" spans="1:17" x14ac:dyDescent="0.25">
      <c r="A16">
        <v>32</v>
      </c>
      <c r="B16" t="s">
        <v>117</v>
      </c>
      <c r="C16" t="s">
        <v>118</v>
      </c>
      <c r="D16" s="1">
        <v>44719</v>
      </c>
      <c r="E16" t="s">
        <v>19</v>
      </c>
      <c r="G16" t="s">
        <v>20</v>
      </c>
      <c r="H16">
        <v>298</v>
      </c>
      <c r="I16">
        <v>35</v>
      </c>
      <c r="J16">
        <v>11.75</v>
      </c>
      <c r="K16">
        <v>5.66</v>
      </c>
      <c r="L16">
        <v>246</v>
      </c>
      <c r="M16">
        <v>14.23</v>
      </c>
      <c r="N16">
        <v>1.9</v>
      </c>
      <c r="O16">
        <v>73.42</v>
      </c>
      <c r="P16">
        <v>24.64</v>
      </c>
      <c r="Q16" t="s">
        <v>119</v>
      </c>
    </row>
    <row r="17" spans="1:17" x14ac:dyDescent="0.25">
      <c r="A17">
        <v>46</v>
      </c>
      <c r="B17" t="s">
        <v>157</v>
      </c>
      <c r="C17" t="s">
        <v>158</v>
      </c>
      <c r="D17" s="1">
        <v>45307</v>
      </c>
      <c r="E17" t="s">
        <v>19</v>
      </c>
      <c r="F17" t="s">
        <v>55</v>
      </c>
      <c r="G17" t="s">
        <v>20</v>
      </c>
      <c r="H17">
        <v>462</v>
      </c>
      <c r="I17">
        <v>104</v>
      </c>
      <c r="J17">
        <v>22.51</v>
      </c>
      <c r="K17">
        <v>10.89</v>
      </c>
      <c r="L17">
        <v>433</v>
      </c>
      <c r="M17">
        <v>24.02</v>
      </c>
      <c r="N17">
        <v>2.36</v>
      </c>
      <c r="O17">
        <v>71.5</v>
      </c>
      <c r="P17">
        <v>15.51</v>
      </c>
      <c r="Q17" t="s">
        <v>159</v>
      </c>
    </row>
    <row r="18" spans="1:17" x14ac:dyDescent="0.25">
      <c r="A18">
        <v>1</v>
      </c>
      <c r="B18" t="s">
        <v>17</v>
      </c>
      <c r="C18" t="s">
        <v>18</v>
      </c>
      <c r="D18" s="1">
        <v>45454</v>
      </c>
      <c r="E18" t="s">
        <v>19</v>
      </c>
      <c r="G18" t="s">
        <v>20</v>
      </c>
      <c r="H18">
        <v>230</v>
      </c>
      <c r="I18">
        <v>18</v>
      </c>
      <c r="J18">
        <v>7.83</v>
      </c>
      <c r="K18">
        <v>9.33</v>
      </c>
      <c r="L18">
        <v>195</v>
      </c>
      <c r="M18">
        <v>9.23</v>
      </c>
      <c r="N18">
        <v>4.0599999999999996</v>
      </c>
      <c r="O18">
        <v>67.95</v>
      </c>
      <c r="P18">
        <v>29.54</v>
      </c>
      <c r="Q18" t="s">
        <v>21</v>
      </c>
    </row>
    <row r="19" spans="1:17" x14ac:dyDescent="0.25">
      <c r="A19">
        <v>10</v>
      </c>
      <c r="B19" t="s">
        <v>46</v>
      </c>
      <c r="C19" t="s">
        <v>47</v>
      </c>
      <c r="D19" s="1">
        <v>45322</v>
      </c>
      <c r="E19" t="s">
        <v>48</v>
      </c>
      <c r="G19" t="s">
        <v>20</v>
      </c>
      <c r="H19">
        <v>98</v>
      </c>
      <c r="I19">
        <v>8</v>
      </c>
      <c r="J19">
        <v>8.16</v>
      </c>
      <c r="K19">
        <v>20</v>
      </c>
      <c r="L19">
        <v>83</v>
      </c>
      <c r="M19">
        <v>9.64</v>
      </c>
      <c r="N19">
        <v>20.41</v>
      </c>
      <c r="O19">
        <v>65.38</v>
      </c>
      <c r="P19">
        <v>66.72</v>
      </c>
      <c r="Q19" t="s">
        <v>49</v>
      </c>
    </row>
    <row r="20" spans="1:17" x14ac:dyDescent="0.25">
      <c r="A20">
        <v>56</v>
      </c>
      <c r="B20" t="s">
        <v>189</v>
      </c>
      <c r="C20" t="s">
        <v>190</v>
      </c>
      <c r="D20" s="1">
        <v>45538</v>
      </c>
      <c r="E20" t="s">
        <v>191</v>
      </c>
      <c r="G20" t="s">
        <v>20</v>
      </c>
      <c r="H20">
        <v>355</v>
      </c>
      <c r="I20">
        <v>11</v>
      </c>
      <c r="J20">
        <v>3.1</v>
      </c>
      <c r="K20">
        <v>-77</v>
      </c>
      <c r="L20">
        <v>260</v>
      </c>
      <c r="M20">
        <v>4.2300000000000004</v>
      </c>
      <c r="N20">
        <v>-21.69</v>
      </c>
      <c r="O20">
        <v>65.02</v>
      </c>
      <c r="P20">
        <v>18.32</v>
      </c>
      <c r="Q20" t="s">
        <v>192</v>
      </c>
    </row>
    <row r="21" spans="1:17" x14ac:dyDescent="0.25">
      <c r="A21">
        <v>47</v>
      </c>
      <c r="B21" t="s">
        <v>160</v>
      </c>
      <c r="C21" t="s">
        <v>161</v>
      </c>
      <c r="D21" s="1">
        <v>45737</v>
      </c>
      <c r="E21" t="s">
        <v>19</v>
      </c>
      <c r="F21" t="s">
        <v>162</v>
      </c>
      <c r="G21" t="s">
        <v>20</v>
      </c>
      <c r="H21">
        <v>1273</v>
      </c>
      <c r="I21">
        <v>117</v>
      </c>
      <c r="J21">
        <v>9.19</v>
      </c>
      <c r="K21">
        <v>-298.05</v>
      </c>
      <c r="L21">
        <v>1129</v>
      </c>
      <c r="M21">
        <v>10.36</v>
      </c>
      <c r="N21">
        <v>-23.41</v>
      </c>
      <c r="O21">
        <v>63.19</v>
      </c>
      <c r="P21">
        <v>4.97</v>
      </c>
      <c r="Q21" t="s">
        <v>163</v>
      </c>
    </row>
    <row r="22" spans="1:17" x14ac:dyDescent="0.25">
      <c r="A22">
        <v>26</v>
      </c>
      <c r="B22" t="s">
        <v>98</v>
      </c>
      <c r="C22" t="s">
        <v>99</v>
      </c>
      <c r="D22" s="1">
        <v>45186</v>
      </c>
      <c r="E22" t="s">
        <v>100</v>
      </c>
      <c r="G22" t="s">
        <v>20</v>
      </c>
      <c r="H22">
        <v>68</v>
      </c>
      <c r="I22">
        <v>4</v>
      </c>
      <c r="J22">
        <v>5.88</v>
      </c>
      <c r="K22">
        <v>20.5</v>
      </c>
      <c r="L22">
        <v>56</v>
      </c>
      <c r="M22">
        <v>7.14</v>
      </c>
      <c r="N22">
        <v>30.15</v>
      </c>
      <c r="O22">
        <v>43.23</v>
      </c>
      <c r="P22">
        <v>63.57</v>
      </c>
      <c r="Q22" t="s">
        <v>101</v>
      </c>
    </row>
    <row r="23" spans="1:17" x14ac:dyDescent="0.25">
      <c r="A23">
        <v>27</v>
      </c>
      <c r="B23" t="s">
        <v>102</v>
      </c>
      <c r="C23" t="s">
        <v>103</v>
      </c>
      <c r="D23" s="1">
        <v>45332</v>
      </c>
      <c r="E23" t="s">
        <v>104</v>
      </c>
      <c r="G23" t="s">
        <v>20</v>
      </c>
      <c r="H23">
        <v>449</v>
      </c>
      <c r="I23">
        <v>71</v>
      </c>
      <c r="J23">
        <v>15.81</v>
      </c>
      <c r="K23">
        <v>-46.96</v>
      </c>
      <c r="L23">
        <v>302</v>
      </c>
      <c r="M23">
        <v>23.51</v>
      </c>
      <c r="N23">
        <v>-10.46</v>
      </c>
      <c r="O23">
        <v>42.78</v>
      </c>
      <c r="P23">
        <v>9.5299999999999994</v>
      </c>
      <c r="Q23" t="s">
        <v>105</v>
      </c>
    </row>
    <row r="24" spans="1:17" x14ac:dyDescent="0.25">
      <c r="A24">
        <v>54</v>
      </c>
      <c r="B24" t="s">
        <v>183</v>
      </c>
      <c r="C24" t="s">
        <v>169</v>
      </c>
      <c r="D24" s="1">
        <v>44320</v>
      </c>
      <c r="E24" t="s">
        <v>19</v>
      </c>
      <c r="G24" t="s">
        <v>20</v>
      </c>
      <c r="H24">
        <v>123</v>
      </c>
      <c r="I24">
        <v>6</v>
      </c>
      <c r="J24">
        <v>4.88</v>
      </c>
      <c r="K24">
        <v>-7.75</v>
      </c>
      <c r="L24">
        <v>117</v>
      </c>
      <c r="M24">
        <v>5.13</v>
      </c>
      <c r="N24">
        <v>-6.3</v>
      </c>
      <c r="O24">
        <v>38.14</v>
      </c>
      <c r="P24">
        <v>31</v>
      </c>
      <c r="Q24" t="s">
        <v>184</v>
      </c>
    </row>
    <row r="25" spans="1:17" x14ac:dyDescent="0.25">
      <c r="A25">
        <v>16</v>
      </c>
      <c r="B25" t="s">
        <v>66</v>
      </c>
      <c r="C25" t="s">
        <v>67</v>
      </c>
      <c r="D25" s="1">
        <v>45170</v>
      </c>
      <c r="E25" t="s">
        <v>19</v>
      </c>
      <c r="G25" t="s">
        <v>20</v>
      </c>
      <c r="H25">
        <v>150</v>
      </c>
      <c r="I25">
        <v>17</v>
      </c>
      <c r="J25">
        <v>11.33</v>
      </c>
      <c r="K25">
        <v>6.11</v>
      </c>
      <c r="L25">
        <v>144</v>
      </c>
      <c r="M25">
        <v>11.81</v>
      </c>
      <c r="N25">
        <v>4.07</v>
      </c>
      <c r="O25">
        <v>30.74</v>
      </c>
      <c r="P25">
        <v>20.49</v>
      </c>
      <c r="Q25" t="s">
        <v>68</v>
      </c>
    </row>
    <row r="26" spans="1:17" x14ac:dyDescent="0.25">
      <c r="A26">
        <v>34</v>
      </c>
      <c r="B26" t="s">
        <v>123</v>
      </c>
      <c r="C26" t="s">
        <v>121</v>
      </c>
      <c r="D26" s="1">
        <v>45143</v>
      </c>
      <c r="E26" t="s">
        <v>19</v>
      </c>
      <c r="G26" t="s">
        <v>20</v>
      </c>
      <c r="H26">
        <v>99</v>
      </c>
      <c r="I26">
        <v>19</v>
      </c>
      <c r="J26">
        <v>19.190000000000001</v>
      </c>
      <c r="K26">
        <v>17.079999999999998</v>
      </c>
      <c r="L26">
        <v>98</v>
      </c>
      <c r="M26">
        <v>19.39</v>
      </c>
      <c r="N26">
        <v>17.25</v>
      </c>
      <c r="O26">
        <v>29.99</v>
      </c>
      <c r="P26">
        <v>30.29</v>
      </c>
      <c r="Q26" t="s">
        <v>124</v>
      </c>
    </row>
    <row r="27" spans="1:17" x14ac:dyDescent="0.25">
      <c r="A27">
        <v>14</v>
      </c>
      <c r="B27" t="s">
        <v>60</v>
      </c>
      <c r="C27" t="s">
        <v>61</v>
      </c>
      <c r="D27" s="1">
        <v>46166</v>
      </c>
      <c r="E27" t="s">
        <v>62</v>
      </c>
      <c r="G27" t="s">
        <v>20</v>
      </c>
      <c r="H27">
        <v>23</v>
      </c>
      <c r="I27">
        <v>4</v>
      </c>
      <c r="J27">
        <v>17.39</v>
      </c>
      <c r="K27">
        <v>18.5</v>
      </c>
      <c r="L27">
        <v>18</v>
      </c>
      <c r="M27">
        <v>22.22</v>
      </c>
      <c r="N27">
        <v>80.430000000000007</v>
      </c>
      <c r="O27">
        <v>28.85</v>
      </c>
      <c r="P27">
        <v>125.44</v>
      </c>
      <c r="Q27" s="2">
        <v>1.4072783564814815</v>
      </c>
    </row>
    <row r="28" spans="1:17" x14ac:dyDescent="0.25">
      <c r="A28">
        <v>15</v>
      </c>
      <c r="B28" t="s">
        <v>63</v>
      </c>
      <c r="C28" t="s">
        <v>64</v>
      </c>
      <c r="D28" s="1">
        <v>45646</v>
      </c>
      <c r="E28" t="s">
        <v>19</v>
      </c>
      <c r="G28" t="s">
        <v>20</v>
      </c>
      <c r="H28">
        <v>179</v>
      </c>
      <c r="I28">
        <v>21</v>
      </c>
      <c r="J28">
        <v>11.73</v>
      </c>
      <c r="K28">
        <v>-6.6</v>
      </c>
      <c r="L28">
        <v>103</v>
      </c>
      <c r="M28">
        <v>20.39</v>
      </c>
      <c r="N28">
        <v>-3.69</v>
      </c>
      <c r="O28">
        <v>27.81</v>
      </c>
      <c r="P28">
        <v>15.54</v>
      </c>
      <c r="Q28" t="s">
        <v>65</v>
      </c>
    </row>
    <row r="29" spans="1:17" x14ac:dyDescent="0.25">
      <c r="A29">
        <v>11</v>
      </c>
      <c r="B29" t="s">
        <v>50</v>
      </c>
      <c r="C29" t="s">
        <v>51</v>
      </c>
      <c r="D29" s="1">
        <v>46046</v>
      </c>
      <c r="E29" t="s">
        <v>52</v>
      </c>
      <c r="G29" t="s">
        <v>20</v>
      </c>
      <c r="H29">
        <v>161</v>
      </c>
      <c r="I29">
        <v>15</v>
      </c>
      <c r="J29">
        <v>9.32</v>
      </c>
      <c r="K29">
        <v>-14.5</v>
      </c>
      <c r="L29">
        <v>152</v>
      </c>
      <c r="M29">
        <v>9.8699999999999992</v>
      </c>
      <c r="N29">
        <v>-9.01</v>
      </c>
      <c r="O29">
        <v>20.53</v>
      </c>
      <c r="P29">
        <v>12.75</v>
      </c>
      <c r="Q29" s="2">
        <v>1.4071820601851852</v>
      </c>
    </row>
    <row r="30" spans="1:17" x14ac:dyDescent="0.25">
      <c r="A30">
        <v>41</v>
      </c>
      <c r="B30" t="s">
        <v>144</v>
      </c>
      <c r="C30" t="s">
        <v>145</v>
      </c>
      <c r="D30" s="1">
        <v>44332</v>
      </c>
      <c r="E30" t="s">
        <v>19</v>
      </c>
      <c r="G30" t="s">
        <v>20</v>
      </c>
      <c r="H30">
        <v>76</v>
      </c>
      <c r="I30">
        <v>10</v>
      </c>
      <c r="J30">
        <v>13.16</v>
      </c>
      <c r="K30">
        <v>8.4600000000000009</v>
      </c>
      <c r="L30">
        <v>71</v>
      </c>
      <c r="M30">
        <v>14.08</v>
      </c>
      <c r="N30">
        <v>11.13</v>
      </c>
      <c r="O30">
        <v>17.45</v>
      </c>
      <c r="P30">
        <v>22.96</v>
      </c>
      <c r="Q30" t="s">
        <v>146</v>
      </c>
    </row>
    <row r="31" spans="1:17" x14ac:dyDescent="0.25">
      <c r="A31">
        <v>13</v>
      </c>
      <c r="B31" t="s">
        <v>57</v>
      </c>
      <c r="C31" t="s">
        <v>58</v>
      </c>
      <c r="D31" s="1">
        <v>44349</v>
      </c>
      <c r="E31" t="s">
        <v>19</v>
      </c>
      <c r="G31" t="s">
        <v>20</v>
      </c>
      <c r="H31">
        <v>183</v>
      </c>
      <c r="I31">
        <v>14</v>
      </c>
      <c r="J31">
        <v>7.65</v>
      </c>
      <c r="K31">
        <v>-34.75</v>
      </c>
      <c r="L31">
        <v>149</v>
      </c>
      <c r="M31">
        <v>9.4</v>
      </c>
      <c r="N31">
        <v>-18.989999999999998</v>
      </c>
      <c r="O31">
        <v>13.47</v>
      </c>
      <c r="P31">
        <v>7.36</v>
      </c>
      <c r="Q31" t="s">
        <v>59</v>
      </c>
    </row>
    <row r="32" spans="1:17" x14ac:dyDescent="0.25">
      <c r="A32">
        <v>33</v>
      </c>
      <c r="B32" t="s">
        <v>120</v>
      </c>
      <c r="C32" t="s">
        <v>121</v>
      </c>
      <c r="D32" s="1">
        <v>45143</v>
      </c>
      <c r="E32" t="s">
        <v>19</v>
      </c>
      <c r="G32" t="s">
        <v>20</v>
      </c>
      <c r="H32">
        <v>100</v>
      </c>
      <c r="I32">
        <v>20</v>
      </c>
      <c r="J32">
        <v>20</v>
      </c>
      <c r="K32">
        <v>2.6</v>
      </c>
      <c r="L32">
        <v>100</v>
      </c>
      <c r="M32">
        <v>20</v>
      </c>
      <c r="N32">
        <v>2.6</v>
      </c>
      <c r="O32">
        <v>13.33</v>
      </c>
      <c r="P32">
        <v>13.33</v>
      </c>
      <c r="Q32" t="s">
        <v>122</v>
      </c>
    </row>
    <row r="33" spans="1:17" x14ac:dyDescent="0.25">
      <c r="A33">
        <v>50</v>
      </c>
      <c r="B33" t="s">
        <v>171</v>
      </c>
      <c r="C33" t="s">
        <v>172</v>
      </c>
      <c r="D33" s="1">
        <v>43496</v>
      </c>
      <c r="E33" t="s">
        <v>19</v>
      </c>
      <c r="G33" t="s">
        <v>20</v>
      </c>
      <c r="H33">
        <v>1314</v>
      </c>
      <c r="I33">
        <v>100</v>
      </c>
      <c r="J33">
        <v>7.61</v>
      </c>
      <c r="K33">
        <v>-255.59</v>
      </c>
      <c r="L33">
        <v>1010</v>
      </c>
      <c r="M33">
        <v>9.9</v>
      </c>
      <c r="N33">
        <v>-19.45</v>
      </c>
      <c r="O33">
        <v>10.07</v>
      </c>
      <c r="P33">
        <v>0.77</v>
      </c>
      <c r="Q33" t="s">
        <v>173</v>
      </c>
    </row>
    <row r="34" spans="1:17" x14ac:dyDescent="0.25">
      <c r="A34">
        <v>43</v>
      </c>
      <c r="B34" t="s">
        <v>150</v>
      </c>
      <c r="C34" t="s">
        <v>121</v>
      </c>
      <c r="D34" s="1">
        <v>45143</v>
      </c>
      <c r="E34" t="s">
        <v>19</v>
      </c>
      <c r="G34" t="s">
        <v>20</v>
      </c>
      <c r="H34">
        <v>186</v>
      </c>
      <c r="I34">
        <v>32</v>
      </c>
      <c r="J34">
        <v>17.2</v>
      </c>
      <c r="K34">
        <v>-17.399999999999999</v>
      </c>
      <c r="L34">
        <v>182</v>
      </c>
      <c r="M34">
        <v>17.579999999999998</v>
      </c>
      <c r="N34">
        <v>-9.35</v>
      </c>
      <c r="O34">
        <v>3.22</v>
      </c>
      <c r="P34">
        <v>1.73</v>
      </c>
      <c r="Q34" t="s">
        <v>151</v>
      </c>
    </row>
    <row r="35" spans="1:17" x14ac:dyDescent="0.25">
      <c r="A35">
        <v>8</v>
      </c>
      <c r="B35" t="s">
        <v>39</v>
      </c>
      <c r="C35" t="s">
        <v>40</v>
      </c>
      <c r="D35" s="1">
        <v>44313</v>
      </c>
      <c r="E35" t="s">
        <v>19</v>
      </c>
      <c r="G35" t="s">
        <v>20</v>
      </c>
      <c r="H35">
        <v>37</v>
      </c>
      <c r="I35">
        <v>2</v>
      </c>
      <c r="J35">
        <v>5.41</v>
      </c>
      <c r="K35">
        <v>-6</v>
      </c>
      <c r="L35">
        <v>35</v>
      </c>
      <c r="M35">
        <v>5.71</v>
      </c>
      <c r="N35">
        <v>-16.22</v>
      </c>
      <c r="O35">
        <v>2.81</v>
      </c>
      <c r="P35">
        <v>7.59</v>
      </c>
      <c r="Q35" t="s">
        <v>41</v>
      </c>
    </row>
    <row r="36" spans="1:17" x14ac:dyDescent="0.25">
      <c r="A36">
        <v>52</v>
      </c>
      <c r="B36" t="s">
        <v>176</v>
      </c>
      <c r="C36" t="s">
        <v>177</v>
      </c>
      <c r="D36" s="1">
        <v>45323</v>
      </c>
      <c r="E36" t="s">
        <v>178</v>
      </c>
      <c r="G36" t="s">
        <v>20</v>
      </c>
      <c r="H36">
        <v>88</v>
      </c>
      <c r="I36">
        <v>11</v>
      </c>
      <c r="J36">
        <v>12.5</v>
      </c>
      <c r="K36">
        <v>-10</v>
      </c>
      <c r="L36">
        <v>59</v>
      </c>
      <c r="M36">
        <v>18.64</v>
      </c>
      <c r="N36">
        <v>-11.36</v>
      </c>
      <c r="O36">
        <v>2.4300000000000002</v>
      </c>
      <c r="P36">
        <v>2.76</v>
      </c>
      <c r="Q36" t="s">
        <v>179</v>
      </c>
    </row>
    <row r="37" spans="1:17" x14ac:dyDescent="0.25">
      <c r="A37">
        <v>5</v>
      </c>
      <c r="B37" t="s">
        <v>30</v>
      </c>
      <c r="C37" t="s">
        <v>31</v>
      </c>
      <c r="D37" s="1">
        <v>44335</v>
      </c>
      <c r="E37" t="s">
        <v>19</v>
      </c>
      <c r="G37" t="s">
        <v>20</v>
      </c>
      <c r="H37">
        <v>500</v>
      </c>
      <c r="I37">
        <v>34</v>
      </c>
      <c r="J37">
        <v>6.8</v>
      </c>
      <c r="K37">
        <v>-97.04</v>
      </c>
      <c r="L37">
        <v>427</v>
      </c>
      <c r="M37">
        <v>7.96</v>
      </c>
      <c r="N37">
        <v>-19.41</v>
      </c>
      <c r="O37">
        <v>0.02</v>
      </c>
      <c r="P37">
        <v>0</v>
      </c>
      <c r="Q37" t="s">
        <v>32</v>
      </c>
    </row>
    <row r="38" spans="1:17" x14ac:dyDescent="0.25">
      <c r="A38">
        <v>19</v>
      </c>
      <c r="B38" t="s">
        <v>77</v>
      </c>
      <c r="C38" t="s">
        <v>74</v>
      </c>
      <c r="D38" s="1">
        <v>46227</v>
      </c>
      <c r="E38" t="s">
        <v>78</v>
      </c>
      <c r="G38" t="s">
        <v>20</v>
      </c>
      <c r="H38">
        <v>14</v>
      </c>
      <c r="I38">
        <v>1</v>
      </c>
      <c r="J38">
        <v>7.14</v>
      </c>
      <c r="K38">
        <v>-3</v>
      </c>
      <c r="L38">
        <v>13</v>
      </c>
      <c r="M38">
        <v>7.69</v>
      </c>
      <c r="N38">
        <v>-21.43</v>
      </c>
      <c r="O38">
        <v>-2.27</v>
      </c>
      <c r="P38">
        <v>-16.25</v>
      </c>
      <c r="Q38" t="s">
        <v>79</v>
      </c>
    </row>
    <row r="39" spans="1:17" x14ac:dyDescent="0.25">
      <c r="A39">
        <v>6</v>
      </c>
      <c r="B39" t="s">
        <v>33</v>
      </c>
      <c r="C39" t="s">
        <v>34</v>
      </c>
      <c r="D39" s="1">
        <v>44381</v>
      </c>
      <c r="E39" t="s">
        <v>19</v>
      </c>
      <c r="G39" t="s">
        <v>20</v>
      </c>
      <c r="H39">
        <v>271</v>
      </c>
      <c r="I39">
        <v>26</v>
      </c>
      <c r="J39">
        <v>9.59</v>
      </c>
      <c r="K39">
        <v>-45.84</v>
      </c>
      <c r="L39">
        <v>257</v>
      </c>
      <c r="M39">
        <v>10.119999999999999</v>
      </c>
      <c r="N39">
        <v>-16.920000000000002</v>
      </c>
      <c r="O39">
        <v>-2.97</v>
      </c>
      <c r="P39">
        <v>-1.1000000000000001</v>
      </c>
      <c r="Q39" t="s">
        <v>35</v>
      </c>
    </row>
    <row r="40" spans="1:17" x14ac:dyDescent="0.25">
      <c r="A40">
        <v>45</v>
      </c>
      <c r="B40" t="s">
        <v>155</v>
      </c>
      <c r="C40" t="s">
        <v>145</v>
      </c>
      <c r="D40" s="1">
        <v>44332</v>
      </c>
      <c r="E40" t="s">
        <v>19</v>
      </c>
      <c r="G40" t="s">
        <v>20</v>
      </c>
      <c r="H40">
        <v>55</v>
      </c>
      <c r="I40">
        <v>6</v>
      </c>
      <c r="J40">
        <v>10.91</v>
      </c>
      <c r="K40">
        <v>-13.67</v>
      </c>
      <c r="L40">
        <v>55</v>
      </c>
      <c r="M40">
        <v>10.91</v>
      </c>
      <c r="N40">
        <v>-24.85</v>
      </c>
      <c r="O40">
        <v>-7</v>
      </c>
      <c r="P40">
        <v>-12.73</v>
      </c>
      <c r="Q40" t="s">
        <v>156</v>
      </c>
    </row>
    <row r="41" spans="1:17" x14ac:dyDescent="0.25">
      <c r="A41">
        <v>4</v>
      </c>
      <c r="B41" t="s">
        <v>28</v>
      </c>
      <c r="C41" t="s">
        <v>26</v>
      </c>
      <c r="D41" s="1">
        <v>44518</v>
      </c>
      <c r="E41" t="s">
        <v>19</v>
      </c>
      <c r="G41" t="s">
        <v>20</v>
      </c>
      <c r="H41">
        <v>26</v>
      </c>
      <c r="I41">
        <v>2</v>
      </c>
      <c r="J41">
        <v>7.69</v>
      </c>
      <c r="K41">
        <v>-12.5</v>
      </c>
      <c r="L41">
        <v>26</v>
      </c>
      <c r="M41">
        <v>7.69</v>
      </c>
      <c r="N41">
        <v>-48.08</v>
      </c>
      <c r="O41">
        <v>-10.93</v>
      </c>
      <c r="P41">
        <v>-42.03</v>
      </c>
      <c r="Q41" t="s">
        <v>29</v>
      </c>
    </row>
    <row r="42" spans="1:17" x14ac:dyDescent="0.25">
      <c r="A42">
        <v>3</v>
      </c>
      <c r="B42" t="s">
        <v>25</v>
      </c>
      <c r="C42" t="s">
        <v>26</v>
      </c>
      <c r="D42" s="1">
        <v>44518</v>
      </c>
      <c r="E42" t="s">
        <v>19</v>
      </c>
      <c r="G42" t="s">
        <v>20</v>
      </c>
      <c r="H42">
        <v>103</v>
      </c>
      <c r="I42">
        <v>8</v>
      </c>
      <c r="J42">
        <v>7.77</v>
      </c>
      <c r="K42">
        <v>-27</v>
      </c>
      <c r="L42">
        <v>99</v>
      </c>
      <c r="M42">
        <v>8.08</v>
      </c>
      <c r="N42">
        <v>-26.21</v>
      </c>
      <c r="O42">
        <v>-12.63</v>
      </c>
      <c r="P42">
        <v>-12.26</v>
      </c>
      <c r="Q42" t="s">
        <v>27</v>
      </c>
    </row>
    <row r="43" spans="1:17" x14ac:dyDescent="0.25">
      <c r="A43">
        <v>28</v>
      </c>
      <c r="B43" t="s">
        <v>106</v>
      </c>
      <c r="C43" t="s">
        <v>107</v>
      </c>
      <c r="D43" s="1">
        <v>45308</v>
      </c>
      <c r="E43" t="s">
        <v>19</v>
      </c>
      <c r="F43" t="s">
        <v>108</v>
      </c>
      <c r="G43" t="s">
        <v>20</v>
      </c>
      <c r="H43">
        <v>233</v>
      </c>
      <c r="I43">
        <v>32</v>
      </c>
      <c r="J43">
        <v>13.73</v>
      </c>
      <c r="K43">
        <v>-39.82</v>
      </c>
      <c r="L43">
        <v>190</v>
      </c>
      <c r="M43">
        <v>16.84</v>
      </c>
      <c r="N43">
        <v>-17.09</v>
      </c>
      <c r="O43">
        <v>-13.22</v>
      </c>
      <c r="P43">
        <v>-5.68</v>
      </c>
      <c r="Q43" t="s">
        <v>109</v>
      </c>
    </row>
    <row r="44" spans="1:17" x14ac:dyDescent="0.25">
      <c r="A44">
        <v>37</v>
      </c>
      <c r="B44" t="s">
        <v>131</v>
      </c>
      <c r="C44" t="s">
        <v>132</v>
      </c>
      <c r="D44" s="1">
        <v>45027</v>
      </c>
      <c r="E44" t="s">
        <v>19</v>
      </c>
      <c r="G44" t="s">
        <v>20</v>
      </c>
      <c r="H44">
        <v>102</v>
      </c>
      <c r="I44">
        <v>5</v>
      </c>
      <c r="J44">
        <v>4.9000000000000004</v>
      </c>
      <c r="K44">
        <v>-28</v>
      </c>
      <c r="L44">
        <v>99</v>
      </c>
      <c r="M44">
        <v>5.05</v>
      </c>
      <c r="N44">
        <v>-27.45</v>
      </c>
      <c r="O44">
        <v>-15.33</v>
      </c>
      <c r="P44">
        <v>-15.03</v>
      </c>
      <c r="Q44" t="s">
        <v>133</v>
      </c>
    </row>
    <row r="45" spans="1:17" x14ac:dyDescent="0.25">
      <c r="A45">
        <v>29</v>
      </c>
      <c r="B45" t="s">
        <v>110</v>
      </c>
      <c r="C45" t="s">
        <v>111</v>
      </c>
      <c r="D45" s="1">
        <v>44390</v>
      </c>
      <c r="E45" t="s">
        <v>19</v>
      </c>
      <c r="G45" t="s">
        <v>20</v>
      </c>
      <c r="H45">
        <v>483</v>
      </c>
      <c r="I45">
        <v>37</v>
      </c>
      <c r="J45">
        <v>7.66</v>
      </c>
      <c r="K45">
        <v>-108.26</v>
      </c>
      <c r="L45">
        <v>418</v>
      </c>
      <c r="M45">
        <v>8.85</v>
      </c>
      <c r="N45">
        <v>-22.41</v>
      </c>
      <c r="O45">
        <v>-15.58</v>
      </c>
      <c r="P45">
        <v>-3.23</v>
      </c>
      <c r="Q45" t="s">
        <v>112</v>
      </c>
    </row>
    <row r="46" spans="1:17" x14ac:dyDescent="0.25">
      <c r="A46">
        <v>55</v>
      </c>
      <c r="B46" t="s">
        <v>185</v>
      </c>
      <c r="C46" t="s">
        <v>186</v>
      </c>
      <c r="D46" s="1">
        <v>45299</v>
      </c>
      <c r="E46" t="s">
        <v>187</v>
      </c>
      <c r="G46" t="s">
        <v>20</v>
      </c>
      <c r="H46">
        <v>113</v>
      </c>
      <c r="I46">
        <v>14</v>
      </c>
      <c r="J46">
        <v>12.39</v>
      </c>
      <c r="K46">
        <v>-24.87</v>
      </c>
      <c r="L46">
        <v>111</v>
      </c>
      <c r="M46">
        <v>12.61</v>
      </c>
      <c r="N46">
        <v>-22.01</v>
      </c>
      <c r="O46">
        <v>-17.57</v>
      </c>
      <c r="P46">
        <v>-15.55</v>
      </c>
      <c r="Q46" t="s">
        <v>188</v>
      </c>
    </row>
    <row r="47" spans="1:17" x14ac:dyDescent="0.25">
      <c r="A47">
        <v>48</v>
      </c>
      <c r="B47" t="s">
        <v>164</v>
      </c>
      <c r="C47" t="s">
        <v>165</v>
      </c>
      <c r="D47" s="1">
        <v>45341</v>
      </c>
      <c r="E47" t="s">
        <v>166</v>
      </c>
      <c r="G47" t="s">
        <v>20</v>
      </c>
      <c r="H47">
        <v>70</v>
      </c>
      <c r="I47">
        <v>10</v>
      </c>
      <c r="J47">
        <v>14.29</v>
      </c>
      <c r="K47">
        <v>-28.56</v>
      </c>
      <c r="L47">
        <v>51</v>
      </c>
      <c r="M47">
        <v>19.61</v>
      </c>
      <c r="N47">
        <v>-40.799999999999997</v>
      </c>
      <c r="O47">
        <v>-24.59</v>
      </c>
      <c r="P47">
        <v>-35.130000000000003</v>
      </c>
      <c r="Q47" t="s">
        <v>167</v>
      </c>
    </row>
    <row r="48" spans="1:17" x14ac:dyDescent="0.25">
      <c r="A48">
        <v>22</v>
      </c>
      <c r="B48" t="s">
        <v>83</v>
      </c>
      <c r="C48" t="s">
        <v>84</v>
      </c>
      <c r="D48" s="1">
        <v>44853</v>
      </c>
      <c r="E48" t="s">
        <v>19</v>
      </c>
      <c r="G48" t="s">
        <v>20</v>
      </c>
      <c r="H48">
        <v>242</v>
      </c>
      <c r="I48">
        <v>23</v>
      </c>
      <c r="J48">
        <v>9.5</v>
      </c>
      <c r="K48">
        <v>-57.84</v>
      </c>
      <c r="L48">
        <v>235</v>
      </c>
      <c r="M48">
        <v>9.7899999999999991</v>
      </c>
      <c r="N48">
        <v>-23.9</v>
      </c>
      <c r="O48">
        <v>-25.5</v>
      </c>
      <c r="P48">
        <v>-10.54</v>
      </c>
      <c r="Q48" t="s">
        <v>85</v>
      </c>
    </row>
    <row r="49" spans="1:17" x14ac:dyDescent="0.25">
      <c r="A49">
        <v>25</v>
      </c>
      <c r="B49" t="s">
        <v>94</v>
      </c>
      <c r="C49" t="s">
        <v>95</v>
      </c>
      <c r="D49" s="1">
        <v>45298</v>
      </c>
      <c r="E49" t="s">
        <v>96</v>
      </c>
      <c r="G49" t="s">
        <v>20</v>
      </c>
      <c r="H49">
        <v>1845</v>
      </c>
      <c r="I49">
        <v>90</v>
      </c>
      <c r="J49">
        <v>4.88</v>
      </c>
      <c r="K49">
        <v>-520</v>
      </c>
      <c r="L49">
        <v>1601</v>
      </c>
      <c r="M49">
        <v>5.62</v>
      </c>
      <c r="N49">
        <v>-28.18</v>
      </c>
      <c r="O49">
        <v>-26.73</v>
      </c>
      <c r="P49">
        <v>-1.45</v>
      </c>
      <c r="Q49" t="s">
        <v>97</v>
      </c>
    </row>
    <row r="50" spans="1:17" x14ac:dyDescent="0.25">
      <c r="A50">
        <v>36</v>
      </c>
      <c r="B50" t="s">
        <v>128</v>
      </c>
      <c r="C50" t="s">
        <v>129</v>
      </c>
      <c r="D50" s="1">
        <v>46190</v>
      </c>
      <c r="E50" t="s">
        <v>19</v>
      </c>
      <c r="F50" t="s">
        <v>55</v>
      </c>
      <c r="G50" t="s">
        <v>20</v>
      </c>
      <c r="H50">
        <v>34</v>
      </c>
      <c r="I50">
        <v>1</v>
      </c>
      <c r="J50">
        <v>2.94</v>
      </c>
      <c r="K50">
        <v>-29.67</v>
      </c>
      <c r="L50">
        <v>30</v>
      </c>
      <c r="M50">
        <v>3.33</v>
      </c>
      <c r="N50">
        <v>-87.26</v>
      </c>
      <c r="O50">
        <v>-29.58</v>
      </c>
      <c r="P50">
        <v>-87</v>
      </c>
      <c r="Q50" t="s">
        <v>130</v>
      </c>
    </row>
    <row r="51" spans="1:17" x14ac:dyDescent="0.25">
      <c r="A51">
        <v>49</v>
      </c>
      <c r="B51" t="s">
        <v>168</v>
      </c>
      <c r="C51" t="s">
        <v>169</v>
      </c>
      <c r="D51" s="1">
        <v>44320</v>
      </c>
      <c r="E51" t="s">
        <v>19</v>
      </c>
      <c r="G51" t="s">
        <v>20</v>
      </c>
      <c r="H51">
        <v>283</v>
      </c>
      <c r="I51">
        <v>19</v>
      </c>
      <c r="J51">
        <v>6.71</v>
      </c>
      <c r="K51">
        <v>-69.09</v>
      </c>
      <c r="L51">
        <v>256</v>
      </c>
      <c r="M51">
        <v>7.42</v>
      </c>
      <c r="N51">
        <v>-24.41</v>
      </c>
      <c r="O51">
        <v>-34.47</v>
      </c>
      <c r="P51">
        <v>-12.18</v>
      </c>
      <c r="Q51" t="s">
        <v>170</v>
      </c>
    </row>
    <row r="52" spans="1:17" x14ac:dyDescent="0.25">
      <c r="A52">
        <v>40</v>
      </c>
      <c r="B52" t="s">
        <v>140</v>
      </c>
      <c r="C52" t="s">
        <v>141</v>
      </c>
      <c r="D52" s="1">
        <v>45303</v>
      </c>
      <c r="E52" t="s">
        <v>142</v>
      </c>
      <c r="G52" t="s">
        <v>20</v>
      </c>
      <c r="H52">
        <v>487</v>
      </c>
      <c r="I52">
        <v>76</v>
      </c>
      <c r="J52">
        <v>15.61</v>
      </c>
      <c r="K52">
        <v>-99.04</v>
      </c>
      <c r="L52">
        <v>475</v>
      </c>
      <c r="M52">
        <v>16</v>
      </c>
      <c r="N52">
        <v>-20.34</v>
      </c>
      <c r="O52">
        <v>-43.07</v>
      </c>
      <c r="P52">
        <v>-8.84</v>
      </c>
      <c r="Q52" t="s">
        <v>143</v>
      </c>
    </row>
    <row r="53" spans="1:17" x14ac:dyDescent="0.25">
      <c r="A53">
        <v>18</v>
      </c>
      <c r="B53" t="s">
        <v>73</v>
      </c>
      <c r="C53" t="s">
        <v>74</v>
      </c>
      <c r="D53" s="1">
        <v>46227</v>
      </c>
      <c r="E53" t="s">
        <v>75</v>
      </c>
      <c r="G53" t="s">
        <v>20</v>
      </c>
      <c r="H53">
        <v>121</v>
      </c>
      <c r="I53">
        <v>3</v>
      </c>
      <c r="J53">
        <v>2.48</v>
      </c>
      <c r="K53">
        <v>-78</v>
      </c>
      <c r="L53">
        <v>70</v>
      </c>
      <c r="M53">
        <v>4.29</v>
      </c>
      <c r="N53">
        <v>-64.459999999999994</v>
      </c>
      <c r="O53">
        <v>-59.79</v>
      </c>
      <c r="P53">
        <v>-49.42</v>
      </c>
      <c r="Q53" t="s">
        <v>76</v>
      </c>
    </row>
    <row r="54" spans="1:17" x14ac:dyDescent="0.25">
      <c r="A54">
        <v>57</v>
      </c>
      <c r="B54" t="s">
        <v>193</v>
      </c>
      <c r="C54" t="s">
        <v>194</v>
      </c>
      <c r="D54" s="1">
        <v>45330</v>
      </c>
      <c r="E54" t="s">
        <v>195</v>
      </c>
      <c r="G54" t="s">
        <v>20</v>
      </c>
      <c r="H54">
        <v>745</v>
      </c>
      <c r="I54">
        <v>60</v>
      </c>
      <c r="J54">
        <v>8.0500000000000007</v>
      </c>
      <c r="K54">
        <v>-217.84</v>
      </c>
      <c r="L54">
        <v>629</v>
      </c>
      <c r="M54">
        <v>9.5399999999999991</v>
      </c>
      <c r="N54">
        <v>-29.24</v>
      </c>
      <c r="O54">
        <v>-77.180000000000007</v>
      </c>
      <c r="P54">
        <v>-10.36</v>
      </c>
      <c r="Q54" t="s">
        <v>196</v>
      </c>
    </row>
    <row r="55" spans="1:17" x14ac:dyDescent="0.25">
      <c r="A55">
        <v>30</v>
      </c>
      <c r="B55" t="s">
        <v>113</v>
      </c>
      <c r="C55" t="s">
        <v>114</v>
      </c>
      <c r="D55" s="1">
        <v>45331</v>
      </c>
      <c r="E55" t="s">
        <v>115</v>
      </c>
      <c r="G55" t="s">
        <v>20</v>
      </c>
      <c r="H55">
        <v>346</v>
      </c>
      <c r="I55">
        <v>13</v>
      </c>
      <c r="J55">
        <v>3.76</v>
      </c>
      <c r="K55">
        <v>-165</v>
      </c>
      <c r="L55">
        <v>308</v>
      </c>
      <c r="M55">
        <v>4.22</v>
      </c>
      <c r="N55">
        <v>-47.69</v>
      </c>
      <c r="O55">
        <v>-112.38</v>
      </c>
      <c r="P55">
        <v>-32.479999999999997</v>
      </c>
      <c r="Q55" t="s">
        <v>116</v>
      </c>
    </row>
    <row r="56" spans="1:17" x14ac:dyDescent="0.25">
      <c r="A56">
        <v>24</v>
      </c>
      <c r="B56" t="s">
        <v>90</v>
      </c>
      <c r="C56" t="s">
        <v>91</v>
      </c>
      <c r="D56" s="1">
        <v>45874</v>
      </c>
      <c r="E56" t="s">
        <v>92</v>
      </c>
      <c r="G56" t="s">
        <v>20</v>
      </c>
      <c r="H56">
        <v>1293</v>
      </c>
      <c r="I56">
        <v>63</v>
      </c>
      <c r="J56">
        <v>4.87</v>
      </c>
      <c r="K56">
        <v>-465</v>
      </c>
      <c r="L56">
        <v>733</v>
      </c>
      <c r="M56">
        <v>8.59</v>
      </c>
      <c r="N56">
        <v>-35.96</v>
      </c>
      <c r="O56">
        <v>-157.36000000000001</v>
      </c>
      <c r="P56">
        <v>-12.17</v>
      </c>
      <c r="Q56" t="s">
        <v>93</v>
      </c>
    </row>
    <row r="60" spans="1:17" x14ac:dyDescent="0.25">
      <c r="O60">
        <f>SUM(O2:O59)</f>
        <v>3938.849999999999</v>
      </c>
    </row>
  </sheetData>
  <sortState xmlns:xlrd2="http://schemas.microsoft.com/office/spreadsheetml/2017/richdata2" ref="A2:Q93">
    <sortCondition descending="1" ref="O2:O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HRB_System_Performance_Audit_v2</vt:lpstr>
      <vt:lpstr>HRB_System_Performance_Audi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 C</cp:lastModifiedBy>
  <dcterms:created xsi:type="dcterms:W3CDTF">2026-07-30T23:35:27Z</dcterms:created>
  <dcterms:modified xsi:type="dcterms:W3CDTF">2026-07-30T23:35:27Z</dcterms:modified>
</cp:coreProperties>
</file>